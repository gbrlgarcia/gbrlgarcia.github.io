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75" windowWidth="18975" windowHeight="10935" activeTab="3"/>
  </bookViews>
  <sheets>
    <sheet name="Tabelas_Norma_CAP_COR" sheetId="10" r:id="rId1"/>
    <sheet name="Tabelas_Norma_Fatores" sheetId="12" r:id="rId2"/>
    <sheet name="Tabelas_PRYSMIAN_PARAM_ELET" sheetId="11" r:id="rId3"/>
    <sheet name="Cálculos" sheetId="15" r:id="rId4"/>
  </sheets>
  <functionGroups/>
  <calcPr calcId="125725"/>
</workbook>
</file>

<file path=xl/calcChain.xml><?xml version="1.0" encoding="utf-8"?>
<calcChain xmlns="http://schemas.openxmlformats.org/spreadsheetml/2006/main">
  <c r="D15" i="15"/>
  <c r="V1"/>
  <c r="W1" s="1"/>
  <c r="X1" s="1"/>
  <c r="Y1" s="1"/>
  <c r="Z1" s="1"/>
  <c r="AA1" s="1"/>
  <c r="M1"/>
  <c r="N1" s="1"/>
  <c r="O1" s="1"/>
  <c r="P1" s="1"/>
  <c r="Q1" s="1"/>
  <c r="R1" s="1"/>
  <c r="S1" s="1"/>
  <c r="T1" s="1"/>
  <c r="U1" s="1"/>
  <c r="C1"/>
  <c r="D1" s="1"/>
  <c r="E1" s="1"/>
  <c r="F1" s="1"/>
  <c r="G1" s="1"/>
  <c r="H1" s="1"/>
  <c r="I1" s="1"/>
  <c r="J1" s="1"/>
  <c r="K1" s="1"/>
  <c r="L1" s="1"/>
  <c r="B1"/>
  <c r="A1"/>
  <c r="C9"/>
  <c r="D25" i="11"/>
  <c r="H25" l="1"/>
  <c r="H26"/>
  <c r="H27"/>
  <c r="H28"/>
  <c r="H29"/>
  <c r="H30"/>
  <c r="H31"/>
  <c r="H32"/>
  <c r="H33"/>
  <c r="H34"/>
  <c r="H35"/>
  <c r="H36"/>
  <c r="H37"/>
  <c r="H38"/>
  <c r="H39"/>
  <c r="H40"/>
  <c r="H41"/>
  <c r="H24"/>
  <c r="G25"/>
  <c r="G26"/>
  <c r="G27"/>
  <c r="G28"/>
  <c r="G29"/>
  <c r="G30"/>
  <c r="G31"/>
  <c r="G32"/>
  <c r="G33"/>
  <c r="G34"/>
  <c r="G35"/>
  <c r="G36"/>
  <c r="G37"/>
  <c r="G38"/>
  <c r="G39"/>
  <c r="G40"/>
  <c r="G41"/>
  <c r="G24"/>
  <c r="D26"/>
  <c r="D37"/>
  <c r="D33"/>
  <c r="D35"/>
  <c r="D32"/>
  <c r="D27"/>
  <c r="D30"/>
  <c r="D24"/>
  <c r="D41"/>
  <c r="D31"/>
  <c r="D34"/>
  <c r="D40"/>
  <c r="D38"/>
  <c r="D29"/>
  <c r="D28"/>
  <c r="D36"/>
  <c r="D39"/>
</calcChain>
</file>

<file path=xl/sharedStrings.xml><?xml version="1.0" encoding="utf-8"?>
<sst xmlns="http://schemas.openxmlformats.org/spreadsheetml/2006/main" count="976" uniqueCount="187">
  <si>
    <t>I</t>
  </si>
  <si>
    <t>ID</t>
  </si>
  <si>
    <t>Descrição</t>
  </si>
  <si>
    <t>A</t>
  </si>
  <si>
    <t xml:space="preserve">A </t>
  </si>
  <si>
    <t xml:space="preserve">B </t>
  </si>
  <si>
    <t xml:space="preserve">C </t>
  </si>
  <si>
    <t xml:space="preserve">D </t>
  </si>
  <si>
    <t xml:space="preserve">E </t>
  </si>
  <si>
    <t xml:space="preserve">F </t>
  </si>
  <si>
    <t xml:space="preserve">G </t>
  </si>
  <si>
    <t xml:space="preserve">H </t>
  </si>
  <si>
    <t xml:space="preserve">I </t>
  </si>
  <si>
    <t xml:space="preserve">Seção (mm2) </t>
  </si>
  <si>
    <t xml:space="preserve">Cabos unipolares e multipolares </t>
  </si>
  <si>
    <t xml:space="preserve">Temperatura de 90°C no condutor </t>
  </si>
  <si>
    <t xml:space="preserve">Temperaturas: 30°C (ambiente); 20°C (solo) </t>
  </si>
  <si>
    <t>Condutor de cobre, isolação de XLPE e EPR</t>
  </si>
  <si>
    <t>Tensão Nominal de 3,6/6 kV a 8,7/15 kV</t>
  </si>
  <si>
    <t>Tensão Nominal de 12/20 kV a 20/35 kV</t>
  </si>
  <si>
    <t>Condutor de alumínio, isolação de XLPE e EPR</t>
  </si>
  <si>
    <t>Condutor de cobre, isolação de EPR</t>
  </si>
  <si>
    <t xml:space="preserve">Temperatura de 105°C no condutor </t>
  </si>
  <si>
    <t>Condutor de alumínio, isolação de EPR</t>
  </si>
  <si>
    <t>EPR ou XLPE</t>
  </si>
  <si>
    <t>EPR 105</t>
  </si>
  <si>
    <t>Ambiente</t>
  </si>
  <si>
    <t>Solo</t>
  </si>
  <si>
    <t>Temperatura (ºC)</t>
  </si>
  <si>
    <t>Fator Ft</t>
  </si>
  <si>
    <t>Fator Fr</t>
  </si>
  <si>
    <t>Resistividade Térmica (K.m/W)</t>
  </si>
  <si>
    <t>F e G</t>
  </si>
  <si>
    <t>H e I</t>
  </si>
  <si>
    <t xml:space="preserve">Fatores de correção para temperaturas ambientes diferentes de 30°C para linhas não subterrâneas e de 20°C (temperatura do solo) para linhas subterrâneas </t>
  </si>
  <si>
    <t>Fatores de correção para cabos contidos em eletrodutos enterrados no solo ou diretamente enterrados, com resistividades térmicas diferentes de 2,5 K.m/W, a serem aplicados às capacidades de condução de corrente do método de referência F, G, H e I</t>
  </si>
  <si>
    <t>Instalação Vertical</t>
  </si>
  <si>
    <t>Instalação em Bandejas</t>
  </si>
  <si>
    <t>Número de Ternas</t>
  </si>
  <si>
    <t>Nº de Bandejas</t>
  </si>
  <si>
    <t>Fatores de correção para cabos unipolares em plano espaçados ao ar livre a serem aplicados às capacidades de condução de corrente dos métodos de referência A e B</t>
  </si>
  <si>
    <t>Tipo de Instalação</t>
  </si>
  <si>
    <t>Fator Fa</t>
  </si>
  <si>
    <t>Unipolar</t>
  </si>
  <si>
    <t>Trifólio</t>
  </si>
  <si>
    <t>Tripolar</t>
  </si>
  <si>
    <t>Seção Nominal</t>
  </si>
  <si>
    <t>Maior que 95 mm²</t>
  </si>
  <si>
    <t>Menor ou igual a 95 mm²</t>
  </si>
  <si>
    <t>Fatores de correção para cabos uni polares e cabos tripolares em banco de dutos a serem</t>
  </si>
  <si>
    <t>Rcc máxima em CC à 20ºC</t>
  </si>
  <si>
    <t>s = 2D</t>
  </si>
  <si>
    <t>s = 13cm</t>
  </si>
  <si>
    <t>s= 20cm</t>
  </si>
  <si>
    <t>trifólio</t>
  </si>
  <si>
    <t>banco de dutos</t>
  </si>
  <si>
    <t>Rca</t>
  </si>
  <si>
    <t>XL</t>
  </si>
  <si>
    <t>EPROTENAX COMPACT 105 - 3,6/6 kV</t>
  </si>
  <si>
    <t>EPROTENAX COMPACT 105 - 6/10 kV</t>
  </si>
  <si>
    <t>EPROTENAX COMPACT 105 - 8,7/15 kV</t>
  </si>
  <si>
    <t>EPROTENAX COMPACT 105 - 12/20 kV</t>
  </si>
  <si>
    <t>EPROTENAX COMPACT 105 - 15/25 kV</t>
  </si>
  <si>
    <t>EPROTENAX COMPACT 105 - 20/35 kV</t>
  </si>
  <si>
    <t xml:space="preserve">EPROTENAX COMPACT - 3,6/6 kV </t>
  </si>
  <si>
    <t>EPROTENAX COMPACT - 6/10 kV</t>
  </si>
  <si>
    <t xml:space="preserve">EPROTENAX COMPACT - 8,7/15 kV </t>
  </si>
  <si>
    <t>EPROTENAX COMPACT - 12/20 kV</t>
  </si>
  <si>
    <t>EPROTENAX COMPACT - 15/25 kV</t>
  </si>
  <si>
    <t>EPROTENAX COMPACT - 20/35 kV</t>
  </si>
  <si>
    <t>EPROTENAX E VOLTALENE - 3,6/6 kV</t>
  </si>
  <si>
    <t>EPROTENAX E VOLTALENE - 6/10 kV</t>
  </si>
  <si>
    <t>EPROTENAX E VOLTALENE - 8,7/15 kV</t>
  </si>
  <si>
    <t>EPROTENAX E VOLTALENE - 12/20 kV</t>
  </si>
  <si>
    <t>EPROTENAX E VOLTALENE - 15/25 kV</t>
  </si>
  <si>
    <t>EPROTENAX E VOLTALENE - 20/35 kV</t>
  </si>
  <si>
    <t>unipolar</t>
  </si>
  <si>
    <t>Xc - EPR</t>
  </si>
  <si>
    <t>Xc - Voltalene</t>
  </si>
  <si>
    <r>
      <t xml:space="preserve">Capacidades de condução de corrente, em </t>
    </r>
    <r>
      <rPr>
        <sz val="11"/>
        <color theme="1"/>
        <rFont val="Times New Roman"/>
        <family val="1"/>
      </rPr>
      <t>arnp</t>
    </r>
    <r>
      <rPr>
        <sz val="11"/>
        <color rgb="FF1A1919"/>
        <rFont val="Times New Roman"/>
        <family val="1"/>
      </rPr>
      <t>ê</t>
    </r>
    <r>
      <rPr>
        <sz val="11"/>
        <color theme="1"/>
        <rFont val="Times New Roman"/>
        <family val="1"/>
      </rPr>
      <t xml:space="preserve">res, </t>
    </r>
    <r>
      <rPr>
        <sz val="11"/>
        <color theme="1"/>
        <rFont val="Calibri"/>
        <family val="2"/>
        <scheme val="minor"/>
      </rPr>
      <t>para os métodos de referência A, B, C, D, E, F, G, H e I.</t>
    </r>
  </si>
  <si>
    <r>
      <t>Capacidades de condução de corrente, em arnp</t>
    </r>
    <r>
      <rPr>
        <sz val="11"/>
        <color rgb="FF1A1919"/>
        <rFont val="Calibri"/>
        <family val="2"/>
        <scheme val="minor"/>
      </rPr>
      <t>ê</t>
    </r>
    <r>
      <rPr>
        <sz val="11"/>
        <color rgb="FF000000"/>
        <rFont val="Calibri"/>
        <family val="2"/>
        <scheme val="minor"/>
      </rPr>
      <t>res, para os métodos de referência A, B, C, D, E, F, G, H e I.</t>
    </r>
  </si>
  <si>
    <r>
      <rPr>
        <sz val="11"/>
        <color theme="1"/>
        <rFont val="Tahoma"/>
        <family val="2"/>
      </rPr>
      <t>Ω</t>
    </r>
    <r>
      <rPr>
        <sz val="11"/>
        <color theme="1"/>
        <rFont val="Calibri"/>
        <family val="2"/>
        <scheme val="minor"/>
      </rPr>
      <t>/Km</t>
    </r>
  </si>
  <si>
    <r>
      <rPr>
        <sz val="11"/>
        <color theme="1"/>
        <rFont val="Tahoma"/>
        <family val="2"/>
      </rPr>
      <t>Ω.</t>
    </r>
    <r>
      <rPr>
        <sz val="11"/>
        <color theme="1"/>
        <rFont val="Calibri"/>
        <family val="2"/>
        <scheme val="minor"/>
      </rPr>
      <t>Km</t>
    </r>
  </si>
  <si>
    <t>Lin</t>
  </si>
  <si>
    <t>Col</t>
  </si>
  <si>
    <t>Tabelas_Norma_CAP_COR</t>
  </si>
  <si>
    <t>3,6/6 kV</t>
  </si>
  <si>
    <t>12/20 kV</t>
  </si>
  <si>
    <t>Tipo Isolação</t>
  </si>
  <si>
    <t>Classe Tensão</t>
  </si>
  <si>
    <t>8,7/15 kV</t>
  </si>
  <si>
    <t>20/35 kV</t>
  </si>
  <si>
    <t>EPR e XLPE</t>
  </si>
  <si>
    <t>Método de Referência</t>
  </si>
  <si>
    <t>B</t>
  </si>
  <si>
    <t>C</t>
  </si>
  <si>
    <t>D</t>
  </si>
  <si>
    <t>E</t>
  </si>
  <si>
    <t>F</t>
  </si>
  <si>
    <t>G</t>
  </si>
  <si>
    <t>H</t>
  </si>
  <si>
    <t>Três cabos unipolares justapostos (na horizontal ou em trifólio) e um cabo tripolar ao ar livre</t>
  </si>
  <si>
    <t>Três cabos unipolares espaçados ao ar livre</t>
  </si>
  <si>
    <t>Três cabos unipolares justapostos (na horizontal ou em trifólio) e um cabo tripolar em canaleta fechada no solo</t>
  </si>
  <si>
    <t>Três cabos unipolares espaçados em canaleta fechada no solo D</t>
  </si>
  <si>
    <t>Três cabos unipolares justapostos (na horizontal ou em trifólio) e um cabo tripolar em eletroduto ao ar livre</t>
  </si>
  <si>
    <t>Três cabos unipolares justapostos (na horizontal ou em trifólio) e um cabo tripolar em banco de dutos ou eletroduto enterrado no solo</t>
  </si>
  <si>
    <t>Três cabos unipolares em banco de dutos ou eletrodutos enterrados e espaçados ± um cabo por duto ou eletroduto não condutor G</t>
  </si>
  <si>
    <t>Três cabos unipolares justapostos (na horizontal ou em trifólio) e um cabo tripolar diretamente enterrados</t>
  </si>
  <si>
    <t>Três cabos unipolares espaçados diretamente enterrados</t>
  </si>
  <si>
    <t>Material</t>
  </si>
  <si>
    <t>Cobre</t>
  </si>
  <si>
    <t xml:space="preserve"> </t>
  </si>
  <si>
    <t xml:space="preserve">aplicados às capacidades de condução de corrente dos métodos de referência F, G, H e I </t>
  </si>
  <si>
    <t>EPR</t>
  </si>
  <si>
    <t xml:space="preserve">ID </t>
  </si>
  <si>
    <t>Temperatura Ambiente</t>
  </si>
  <si>
    <t>6/10 kV</t>
  </si>
  <si>
    <t>15/25 kV</t>
  </si>
  <si>
    <t>Tabelas_PRYSMIAN_PARAM_ELET</t>
  </si>
  <si>
    <t>Bitolas</t>
  </si>
  <si>
    <t>Parâmetro</t>
  </si>
  <si>
    <t>Seção Nominal (mm²)</t>
  </si>
  <si>
    <t>Temp Op.</t>
  </si>
  <si>
    <t>Tipo de Isolação</t>
  </si>
  <si>
    <t>3,6/6 kV a 8,7/15 kV</t>
  </si>
  <si>
    <t>12/20 kV a 20/35 kV</t>
  </si>
  <si>
    <t>Rcc - Valor máximo à 20ºC</t>
  </si>
  <si>
    <t>Rca - 3 Cabos unipolares em plano espaçados de s=2D</t>
  </si>
  <si>
    <t>XL - 3 Cabos unipolares em plano espaçados de s=2D</t>
  </si>
  <si>
    <t>Rca - 3 Cabos unipolares em plano espaçados de s=13 cm</t>
  </si>
  <si>
    <t>XL - 3 Cabos unipolares em plano espaçados de s=13 cm</t>
  </si>
  <si>
    <t>Rca - 3 Cabos unipolares em plano espaçados de s=20 cm</t>
  </si>
  <si>
    <t>XL - 3 Cabos unipolares em plano espaçados de s=20 cm</t>
  </si>
  <si>
    <t>Rca - 3 cabos unipolares em trifólio</t>
  </si>
  <si>
    <t>XL - 3 cabos unipolares em trifólio</t>
  </si>
  <si>
    <t>Rca - 3 cabos unipolares em banco de dutos - 1 cabos por duto</t>
  </si>
  <si>
    <t>XL - 3 cabos unipolares em banco de dutos - 1 cabos por duto</t>
  </si>
  <si>
    <t>Rca - Cabos Tripolares</t>
  </si>
  <si>
    <t>XL - Cabos Tripolares</t>
  </si>
  <si>
    <t>Circuito</t>
  </si>
  <si>
    <t>CV</t>
  </si>
  <si>
    <t>kW</t>
  </si>
  <si>
    <t>Legenda</t>
  </si>
  <si>
    <t>Entradas Obrigatórias</t>
  </si>
  <si>
    <t>Cabo</t>
  </si>
  <si>
    <t>Entradas Opcionais</t>
  </si>
  <si>
    <t>Classe de Tensão</t>
  </si>
  <si>
    <t>Saídas</t>
  </si>
  <si>
    <t>Motores</t>
  </si>
  <si>
    <t>Queda de Tensão Máxima em Regime (%)</t>
  </si>
  <si>
    <t>Queda de Tensão Máxima na Partida (%)</t>
  </si>
  <si>
    <t>Dados que podem ser ajustados automaticamente</t>
  </si>
  <si>
    <t>fp</t>
  </si>
  <si>
    <t>Tipo de carga</t>
  </si>
  <si>
    <t>FS</t>
  </si>
  <si>
    <t>Ip/In</t>
  </si>
  <si>
    <t>η</t>
  </si>
  <si>
    <t>Tipo de conexão</t>
  </si>
  <si>
    <t>Resistividade do meio</t>
  </si>
  <si>
    <t>Comprimento do circuito</t>
  </si>
  <si>
    <t>Fa - Fator de Agrupamento</t>
  </si>
  <si>
    <t>Fc - Fator de Correção Para Canaleta</t>
  </si>
  <si>
    <t>Corrente de curto-circuito</t>
  </si>
  <si>
    <t>Tempo de operação da proteção</t>
  </si>
  <si>
    <t>Limite de cabos por fase</t>
  </si>
  <si>
    <t>Bitola Final</t>
  </si>
  <si>
    <t>Número de Cabos por Fase</t>
  </si>
  <si>
    <t>Critério de Dimensionamento</t>
  </si>
  <si>
    <t>=</t>
  </si>
  <si>
    <t>Default</t>
  </si>
  <si>
    <t>Tensão (kV)</t>
  </si>
  <si>
    <t>Pnom (kW)</t>
  </si>
  <si>
    <t>Inom (A)</t>
  </si>
  <si>
    <t>Bitola máxima</t>
  </si>
  <si>
    <t>Tipo de Cabo</t>
  </si>
  <si>
    <t>Maneira de Instalar</t>
  </si>
  <si>
    <t>Número de Cabos por Fase Fixo</t>
  </si>
  <si>
    <t>C1</t>
  </si>
  <si>
    <t>Não Motor</t>
  </si>
  <si>
    <t>EPROTENAX COMPACT 105</t>
  </si>
  <si>
    <t>3,6/6</t>
  </si>
  <si>
    <t>Em Bandejas</t>
  </si>
  <si>
    <t>Soldada</t>
  </si>
  <si>
    <t>Temperatura Ambiente (ºC)</t>
  </si>
  <si>
    <t>3 Cabos Unipolares Justapostos Em Trifólio</t>
  </si>
  <si>
    <t>Capacidade de Curto-Circuito</t>
  </si>
</sst>
</file>

<file path=xl/styles.xml><?xml version="1.0" encoding="utf-8"?>
<styleSheet xmlns="http://schemas.openxmlformats.org/spreadsheetml/2006/main">
  <numFmts count="3">
    <numFmt numFmtId="164" formatCode="_(&quot;R$ &quot;* #,##0.00_);_(&quot;R$ &quot;* \(#,##0.00\);_(&quot;R$ &quot;* &quot;-&quot;??_);_(@_)"/>
    <numFmt numFmtId="165" formatCode="0.0"/>
    <numFmt numFmtId="166" formatCode="0.000"/>
  </numFmts>
  <fonts count="16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92425"/>
      <name val="Calibri"/>
      <family val="2"/>
      <scheme val="minor"/>
    </font>
    <font>
      <sz val="11"/>
      <color theme="1"/>
      <name val="Times New Roman"/>
      <family val="1"/>
    </font>
    <font>
      <sz val="11"/>
      <color rgb="FF1A1919"/>
      <name val="Times New Roman"/>
      <family val="1"/>
    </font>
    <font>
      <sz val="11"/>
      <color rgb="FF1A1919"/>
      <name val="Calibri"/>
      <family val="2"/>
      <scheme val="minor"/>
    </font>
    <font>
      <sz val="11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rgb="FFFFFF66"/>
      <name val="Arial"/>
      <family val="2"/>
    </font>
    <font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9" fillId="0" borderId="0" applyFont="0" applyFill="0" applyBorder="0" applyAlignment="0" applyProtection="0"/>
    <xf numFmtId="0" fontId="10" fillId="0" borderId="0"/>
  </cellStyleXfs>
  <cellXfs count="28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0" fillId="0" borderId="6" xfId="0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66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0" fontId="0" fillId="0" borderId="0" xfId="0" applyFont="1"/>
    <xf numFmtId="0" fontId="0" fillId="0" borderId="2" xfId="0" applyFont="1" applyBorder="1"/>
    <xf numFmtId="0" fontId="0" fillId="0" borderId="3" xfId="0" applyFont="1" applyBorder="1"/>
    <xf numFmtId="0" fontId="0" fillId="0" borderId="0" xfId="0" applyFont="1" applyAlignment="1">
      <alignment wrapText="1"/>
    </xf>
    <xf numFmtId="0" fontId="0" fillId="0" borderId="0" xfId="0" applyFont="1" applyBorder="1"/>
    <xf numFmtId="0" fontId="3" fillId="0" borderId="21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1" fontId="3" fillId="0" borderId="0" xfId="0" applyNumberFormat="1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" xfId="0" applyFont="1" applyBorder="1" applyAlignment="1"/>
    <xf numFmtId="0" fontId="0" fillId="0" borderId="3" xfId="0" applyFont="1" applyBorder="1" applyAlignment="1"/>
    <xf numFmtId="0" fontId="0" fillId="0" borderId="22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0" fillId="0" borderId="7" xfId="0" applyFont="1" applyBorder="1" applyAlignment="1"/>
    <xf numFmtId="0" fontId="0" fillId="0" borderId="24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" xfId="0" applyFont="1" applyBorder="1" applyAlignment="1">
      <alignment vertical="center" wrapText="1"/>
    </xf>
    <xf numFmtId="0" fontId="0" fillId="0" borderId="3" xfId="0" applyFont="1" applyBorder="1" applyAlignment="1">
      <alignment vertical="center" wrapTex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21" xfId="0" applyFont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/>
    </xf>
    <xf numFmtId="0" fontId="0" fillId="0" borderId="38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 wrapText="1"/>
    </xf>
    <xf numFmtId="0" fontId="0" fillId="0" borderId="24" xfId="0" applyFont="1" applyBorder="1" applyAlignment="1">
      <alignment vertical="center" wrapText="1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1" fontId="0" fillId="0" borderId="23" xfId="0" applyNumberFormat="1" applyFont="1" applyBorder="1" applyAlignment="1">
      <alignment horizontal="center" vertical="center"/>
    </xf>
    <xf numFmtId="1" fontId="0" fillId="0" borderId="24" xfId="0" applyNumberFormat="1" applyFont="1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1" fontId="0" fillId="0" borderId="2" xfId="0" applyNumberFormat="1" applyFont="1" applyBorder="1" applyAlignment="1">
      <alignment horizontal="center"/>
    </xf>
    <xf numFmtId="1" fontId="0" fillId="0" borderId="0" xfId="0" applyNumberFormat="1" applyFont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5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7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ont="1" applyBorder="1" applyAlignment="1">
      <alignment horizontal="left" vertical="center"/>
    </xf>
    <xf numFmtId="0" fontId="0" fillId="0" borderId="2" xfId="0" applyFont="1" applyBorder="1" applyAlignment="1">
      <alignment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Font="1" applyBorder="1" applyAlignment="1">
      <alignment wrapText="1"/>
    </xf>
    <xf numFmtId="0" fontId="0" fillId="0" borderId="5" xfId="0" applyFont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7" xfId="0" applyFont="1" applyBorder="1"/>
    <xf numFmtId="0" fontId="0" fillId="0" borderId="7" xfId="0" applyFont="1" applyBorder="1" applyAlignment="1">
      <alignment wrapText="1"/>
    </xf>
    <xf numFmtId="0" fontId="0" fillId="0" borderId="8" xfId="0" applyFont="1" applyBorder="1"/>
    <xf numFmtId="1" fontId="0" fillId="0" borderId="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1" xfId="0" applyFont="1" applyBorder="1" applyAlignment="1">
      <alignment horizontal="center"/>
    </xf>
    <xf numFmtId="1" fontId="0" fillId="0" borderId="2" xfId="0" applyNumberFormat="1" applyBorder="1" applyAlignment="1">
      <alignment horizontal="left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/>
    </xf>
    <xf numFmtId="0" fontId="0" fillId="0" borderId="1" xfId="0" applyBorder="1"/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165" fontId="0" fillId="0" borderId="5" xfId="0" applyNumberFormat="1" applyFont="1" applyBorder="1" applyAlignment="1">
      <alignment horizontal="center" vertical="center"/>
    </xf>
    <xf numFmtId="0" fontId="0" fillId="0" borderId="4" xfId="0" applyFont="1" applyFill="1" applyBorder="1"/>
    <xf numFmtId="0" fontId="0" fillId="0" borderId="6" xfId="0" applyFont="1" applyFill="1" applyBorder="1"/>
    <xf numFmtId="165" fontId="0" fillId="0" borderId="8" xfId="0" applyNumberFormat="1" applyFont="1" applyBorder="1" applyAlignment="1">
      <alignment horizontal="center" vertical="center"/>
    </xf>
    <xf numFmtId="0" fontId="0" fillId="0" borderId="0" xfId="0" applyFont="1" applyBorder="1" applyAlignment="1"/>
    <xf numFmtId="0" fontId="0" fillId="0" borderId="0" xfId="0" applyFont="1" applyBorder="1" applyAlignment="1">
      <alignment vertical="center"/>
    </xf>
    <xf numFmtId="166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6" fontId="0" fillId="0" borderId="2" xfId="0" applyNumberFormat="1" applyFont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166" fontId="0" fillId="0" borderId="0" xfId="0" applyNumberFormat="1" applyFont="1" applyBorder="1" applyAlignment="1">
      <alignment horizontal="center" vertical="center"/>
    </xf>
    <xf numFmtId="1" fontId="0" fillId="0" borderId="6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wrapText="1"/>
    </xf>
    <xf numFmtId="1" fontId="3" fillId="0" borderId="4" xfId="0" applyNumberFormat="1" applyFont="1" applyBorder="1" applyAlignment="1">
      <alignment horizontal="center" wrapText="1"/>
    </xf>
    <xf numFmtId="1" fontId="3" fillId="0" borderId="5" xfId="0" applyNumberFormat="1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wrapText="1"/>
    </xf>
    <xf numFmtId="1" fontId="3" fillId="0" borderId="8" xfId="0" applyNumberFormat="1" applyFont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" fontId="0" fillId="0" borderId="0" xfId="0" applyNumberFormat="1" applyFon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1" fontId="1" fillId="0" borderId="23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66" fontId="1" fillId="0" borderId="0" xfId="0" applyNumberFormat="1" applyFont="1" applyBorder="1" applyAlignment="1">
      <alignment horizontal="center" vertical="center"/>
    </xf>
    <xf numFmtId="166" fontId="1" fillId="0" borderId="5" xfId="0" applyNumberFormat="1" applyFont="1" applyBorder="1" applyAlignment="1">
      <alignment horizontal="center" vertical="center"/>
    </xf>
    <xf numFmtId="1" fontId="1" fillId="0" borderId="23" xfId="0" applyNumberFormat="1" applyFont="1" applyFill="1" applyBorder="1" applyAlignment="1">
      <alignment horizontal="center" vertical="center"/>
    </xf>
    <xf numFmtId="166" fontId="1" fillId="0" borderId="4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166" fontId="1" fillId="0" borderId="0" xfId="0" applyNumberFormat="1" applyFont="1" applyFill="1" applyBorder="1" applyAlignment="1">
      <alignment horizontal="center" vertical="center"/>
    </xf>
    <xf numFmtId="166" fontId="1" fillId="0" borderId="5" xfId="0" applyNumberFormat="1" applyFont="1" applyFill="1" applyBorder="1" applyAlignment="1">
      <alignment horizontal="center" vertical="center"/>
    </xf>
    <xf numFmtId="1" fontId="1" fillId="0" borderId="22" xfId="0" applyNumberFormat="1" applyFont="1" applyBorder="1" applyAlignment="1">
      <alignment horizontal="center" vertical="center"/>
    </xf>
    <xf numFmtId="166" fontId="1" fillId="0" borderId="6" xfId="0" applyNumberFormat="1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166" fontId="1" fillId="0" borderId="7" xfId="0" applyNumberFormat="1" applyFont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1" fontId="1" fillId="0" borderId="21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1" fontId="1" fillId="0" borderId="23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" fontId="1" fillId="0" borderId="23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1" fontId="1" fillId="0" borderId="22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165" fontId="1" fillId="0" borderId="37" xfId="0" applyNumberFormat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2" fontId="1" fillId="0" borderId="36" xfId="0" applyNumberFormat="1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2" fontId="1" fillId="0" borderId="9" xfId="0" applyNumberFormat="1" applyFont="1" applyFill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2" fontId="1" fillId="0" borderId="20" xfId="0" applyNumberFormat="1" applyFont="1" applyBorder="1" applyAlignment="1">
      <alignment horizontal="center" vertical="center"/>
    </xf>
    <xf numFmtId="2" fontId="1" fillId="0" borderId="19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 wrapText="1"/>
    </xf>
    <xf numFmtId="2" fontId="1" fillId="0" borderId="3" xfId="0" applyNumberFormat="1" applyFont="1" applyBorder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2" fontId="1" fillId="0" borderId="8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1" fontId="1" fillId="0" borderId="32" xfId="0" applyNumberFormat="1" applyFont="1" applyBorder="1" applyAlignment="1">
      <alignment horizontal="center" vertical="center" wrapText="1"/>
    </xf>
    <xf numFmtId="1" fontId="1" fillId="0" borderId="31" xfId="0" applyNumberFormat="1" applyFont="1" applyBorder="1" applyAlignment="1">
      <alignment horizontal="center" vertical="center" wrapText="1"/>
    </xf>
    <xf numFmtId="1" fontId="1" fillId="0" borderId="25" xfId="0" applyNumberFormat="1" applyFont="1" applyBorder="1" applyAlignment="1">
      <alignment horizontal="center" vertical="center" wrapText="1"/>
    </xf>
    <xf numFmtId="1" fontId="1" fillId="0" borderId="15" xfId="0" applyNumberFormat="1" applyFont="1" applyBorder="1" applyAlignment="1">
      <alignment horizontal="center" vertical="center" wrapText="1"/>
    </xf>
    <xf numFmtId="1" fontId="1" fillId="0" borderId="14" xfId="0" applyNumberFormat="1" applyFont="1" applyBorder="1" applyAlignment="1">
      <alignment horizontal="center" vertical="center" wrapText="1"/>
    </xf>
    <xf numFmtId="1" fontId="1" fillId="0" borderId="28" xfId="0" applyNumberFormat="1" applyFont="1" applyBorder="1" applyAlignment="1">
      <alignment horizontal="center" vertical="center" wrapText="1"/>
    </xf>
    <xf numFmtId="1" fontId="1" fillId="0" borderId="14" xfId="0" applyNumberFormat="1" applyFont="1" applyBorder="1" applyAlignment="1">
      <alignment horizontal="center" wrapText="1"/>
    </xf>
    <xf numFmtId="1" fontId="1" fillId="0" borderId="25" xfId="0" applyNumberFormat="1" applyFont="1" applyBorder="1" applyAlignment="1">
      <alignment horizontal="center" wrapText="1"/>
    </xf>
    <xf numFmtId="1" fontId="1" fillId="0" borderId="15" xfId="0" applyNumberFormat="1" applyFont="1" applyBorder="1" applyAlignment="1">
      <alignment horizontal="center" wrapText="1"/>
    </xf>
    <xf numFmtId="1" fontId="1" fillId="0" borderId="31" xfId="0" applyNumberFormat="1" applyFont="1" applyBorder="1" applyAlignment="1">
      <alignment horizontal="center" wrapText="1"/>
    </xf>
    <xf numFmtId="1" fontId="1" fillId="0" borderId="33" xfId="0" applyNumberFormat="1" applyFont="1" applyBorder="1" applyAlignment="1">
      <alignment horizontal="center" vertical="center" wrapText="1"/>
    </xf>
    <xf numFmtId="1" fontId="1" fillId="0" borderId="26" xfId="0" applyNumberFormat="1" applyFont="1" applyBorder="1" applyAlignment="1">
      <alignment horizontal="center" vertical="center" wrapText="1"/>
    </xf>
    <xf numFmtId="1" fontId="1" fillId="0" borderId="9" xfId="0" applyNumberFormat="1" applyFont="1" applyBorder="1" applyAlignment="1">
      <alignment horizontal="center" vertical="center" wrapText="1"/>
    </xf>
    <xf numFmtId="1" fontId="1" fillId="0" borderId="17" xfId="0" applyNumberFormat="1" applyFont="1" applyBorder="1" applyAlignment="1">
      <alignment horizontal="center" vertical="center" wrapText="1"/>
    </xf>
    <xf numFmtId="1" fontId="1" fillId="0" borderId="16" xfId="0" applyNumberFormat="1" applyFont="1" applyBorder="1" applyAlignment="1">
      <alignment horizontal="center" vertical="center" wrapText="1"/>
    </xf>
    <xf numFmtId="1" fontId="1" fillId="0" borderId="29" xfId="0" applyNumberFormat="1" applyFont="1" applyBorder="1" applyAlignment="1">
      <alignment horizontal="center" vertical="center" wrapText="1"/>
    </xf>
    <xf numFmtId="1" fontId="1" fillId="0" borderId="16" xfId="0" applyNumberFormat="1" applyFont="1" applyBorder="1" applyAlignment="1">
      <alignment horizontal="center" wrapText="1"/>
    </xf>
    <xf numFmtId="1" fontId="1" fillId="0" borderId="9" xfId="0" applyNumberFormat="1" applyFont="1" applyBorder="1" applyAlignment="1">
      <alignment horizontal="center" wrapText="1"/>
    </xf>
    <xf numFmtId="1" fontId="1" fillId="0" borderId="17" xfId="0" applyNumberFormat="1" applyFont="1" applyBorder="1" applyAlignment="1">
      <alignment horizontal="center" wrapText="1"/>
    </xf>
    <xf numFmtId="1" fontId="1" fillId="0" borderId="26" xfId="0" applyNumberFormat="1" applyFont="1" applyBorder="1" applyAlignment="1">
      <alignment horizontal="center" wrapText="1"/>
    </xf>
    <xf numFmtId="1" fontId="1" fillId="0" borderId="34" xfId="0" applyNumberFormat="1" applyFont="1" applyBorder="1" applyAlignment="1">
      <alignment horizontal="center" vertical="center" wrapText="1"/>
    </xf>
    <xf numFmtId="1" fontId="1" fillId="0" borderId="27" xfId="0" applyNumberFormat="1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9" xfId="0" applyNumberFormat="1" applyFont="1" applyBorder="1" applyAlignment="1">
      <alignment horizontal="center" vertical="center" wrapText="1"/>
    </xf>
    <xf numFmtId="1" fontId="1" fillId="0" borderId="18" xfId="0" applyNumberFormat="1" applyFont="1" applyBorder="1" applyAlignment="1">
      <alignment horizontal="center" vertical="center" wrapText="1"/>
    </xf>
    <xf numFmtId="1" fontId="1" fillId="0" borderId="30" xfId="0" applyNumberFormat="1" applyFont="1" applyBorder="1" applyAlignment="1">
      <alignment horizontal="center" vertical="center" wrapText="1"/>
    </xf>
    <xf numFmtId="1" fontId="1" fillId="0" borderId="18" xfId="0" applyNumberFormat="1" applyFont="1" applyBorder="1" applyAlignment="1">
      <alignment horizontal="center" wrapText="1"/>
    </xf>
    <xf numFmtId="1" fontId="1" fillId="0" borderId="20" xfId="0" applyNumberFormat="1" applyFont="1" applyBorder="1" applyAlignment="1">
      <alignment horizontal="center" wrapText="1"/>
    </xf>
    <xf numFmtId="1" fontId="1" fillId="0" borderId="19" xfId="0" applyNumberFormat="1" applyFont="1" applyBorder="1" applyAlignment="1">
      <alignment horizontal="center" wrapText="1"/>
    </xf>
    <xf numFmtId="1" fontId="1" fillId="0" borderId="27" xfId="0" applyNumberFormat="1" applyFont="1" applyBorder="1" applyAlignment="1">
      <alignment horizontal="center" wrapText="1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" fillId="0" borderId="0" xfId="0" applyFont="1" applyBorder="1"/>
    <xf numFmtId="0" fontId="1" fillId="0" borderId="2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left" vertical="center"/>
    </xf>
    <xf numFmtId="0" fontId="1" fillId="0" borderId="2" xfId="0" applyNumberFormat="1" applyFont="1" applyBorder="1" applyAlignment="1">
      <alignment horizontal="left" vertical="center"/>
    </xf>
    <xf numFmtId="49" fontId="0" fillId="0" borderId="0" xfId="0" applyNumberFormat="1" applyBorder="1" applyAlignment="1">
      <alignment vertical="center"/>
    </xf>
    <xf numFmtId="49" fontId="0" fillId="0" borderId="7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Font="1" applyBorder="1"/>
    <xf numFmtId="0" fontId="0" fillId="0" borderId="7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left" vertical="center"/>
    </xf>
    <xf numFmtId="0" fontId="0" fillId="0" borderId="7" xfId="0" applyNumberFormat="1" applyFont="1" applyBorder="1"/>
    <xf numFmtId="0" fontId="0" fillId="0" borderId="7" xfId="0" applyFont="1" applyBorder="1" applyAlignment="1">
      <alignment horizontal="left" vertical="center"/>
    </xf>
    <xf numFmtId="0" fontId="0" fillId="0" borderId="0" xfId="0" applyFont="1" applyBorder="1" applyAlignment="1">
      <alignment horizontal="center"/>
    </xf>
    <xf numFmtId="0" fontId="3" fillId="0" borderId="1" xfId="0" applyFont="1" applyBorder="1"/>
    <xf numFmtId="0" fontId="3" fillId="0" borderId="4" xfId="0" applyFont="1" applyBorder="1"/>
    <xf numFmtId="0" fontId="3" fillId="0" borderId="6" xfId="0" applyFont="1" applyBorder="1"/>
    <xf numFmtId="0" fontId="0" fillId="0" borderId="5" xfId="0" applyNumberFormat="1" applyFont="1" applyBorder="1"/>
    <xf numFmtId="0" fontId="0" fillId="0" borderId="8" xfId="0" applyNumberFormat="1" applyFont="1" applyBorder="1"/>
    <xf numFmtId="0" fontId="11" fillId="2" borderId="39" xfId="0" applyFont="1" applyFill="1" applyBorder="1" applyAlignment="1">
      <alignment horizontal="center" vertical="center" wrapText="1"/>
    </xf>
    <xf numFmtId="0" fontId="11" fillId="5" borderId="39" xfId="0" applyFont="1" applyFill="1" applyBorder="1" applyAlignment="1">
      <alignment horizontal="center" vertical="center" wrapText="1"/>
    </xf>
    <xf numFmtId="0" fontId="11" fillId="3" borderId="39" xfId="0" applyFont="1" applyFill="1" applyBorder="1" applyAlignment="1">
      <alignment horizontal="center" vertical="center" wrapText="1"/>
    </xf>
    <xf numFmtId="0" fontId="11" fillId="4" borderId="39" xfId="0" applyFont="1" applyFill="1" applyBorder="1" applyAlignment="1">
      <alignment horizontal="center" vertical="center" wrapText="1"/>
    </xf>
    <xf numFmtId="0" fontId="11" fillId="2" borderId="39" xfId="1" applyNumberFormat="1" applyFont="1" applyFill="1" applyBorder="1" applyAlignment="1">
      <alignment horizontal="center" vertical="center" wrapText="1"/>
    </xf>
    <xf numFmtId="0" fontId="11" fillId="2" borderId="38" xfId="0" applyFont="1" applyFill="1" applyBorder="1" applyAlignment="1">
      <alignment horizontal="center" vertical="center" wrapText="1"/>
    </xf>
    <xf numFmtId="0" fontId="11" fillId="4" borderId="3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3" fillId="0" borderId="0" xfId="0" applyFont="1"/>
    <xf numFmtId="0" fontId="11" fillId="0" borderId="1" xfId="0" applyFont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3" fillId="0" borderId="2" xfId="0" applyFont="1" applyBorder="1"/>
    <xf numFmtId="0" fontId="11" fillId="0" borderId="3" xfId="0" applyFont="1" applyBorder="1" applyAlignment="1">
      <alignment horizontal="center" vertical="center"/>
    </xf>
    <xf numFmtId="0" fontId="13" fillId="0" borderId="0" xfId="0" applyFont="1" applyBorder="1"/>
    <xf numFmtId="0" fontId="13" fillId="0" borderId="0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13" fillId="0" borderId="25" xfId="0" applyFont="1" applyBorder="1"/>
    <xf numFmtId="0" fontId="13" fillId="0" borderId="25" xfId="0" applyFont="1" applyBorder="1" applyAlignment="1">
      <alignment horizontal="center" vertical="center"/>
    </xf>
    <xf numFmtId="0" fontId="13" fillId="0" borderId="20" xfId="0" applyFont="1" applyBorder="1"/>
    <xf numFmtId="0" fontId="13" fillId="0" borderId="20" xfId="0" applyFont="1" applyBorder="1" applyAlignment="1">
      <alignment horizontal="center" vertical="center"/>
    </xf>
    <xf numFmtId="0" fontId="12" fillId="3" borderId="39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21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1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Normal 13" xfId="2"/>
  </cellStyles>
  <dxfs count="0"/>
  <tableStyles count="0" defaultTableStyle="TableStyleMedium9" defaultPivotStyle="PivotStyleLight16"/>
  <colors>
    <mruColors>
      <color rgb="FFFFFF99"/>
      <color rgb="FF00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"/>
  <dimension ref="A1:AL98"/>
  <sheetViews>
    <sheetView topLeftCell="S1" workbookViewId="0">
      <selection activeCell="R30" sqref="R30"/>
    </sheetView>
  </sheetViews>
  <sheetFormatPr defaultRowHeight="15"/>
  <cols>
    <col min="1" max="1" width="9.140625" style="17"/>
    <col min="2" max="2" width="11.28515625" style="17" bestFit="1" customWidth="1"/>
    <col min="3" max="4" width="12.42578125" style="17" customWidth="1"/>
    <col min="5" max="5" width="11.28515625" style="17" bestFit="1" customWidth="1"/>
    <col min="6" max="6" width="11.5703125" style="17" customWidth="1"/>
    <col min="7" max="11" width="10.140625" style="17" bestFit="1" customWidth="1"/>
    <col min="12" max="16384" width="9.140625" style="17"/>
  </cols>
  <sheetData>
    <row r="1" spans="2:38">
      <c r="B1" s="233" t="s">
        <v>80</v>
      </c>
      <c r="C1" s="18"/>
      <c r="D1" s="18"/>
      <c r="E1" s="18"/>
      <c r="F1" s="18"/>
      <c r="G1" s="18"/>
      <c r="H1" s="18"/>
      <c r="I1" s="18"/>
      <c r="J1" s="19"/>
      <c r="U1" s="233" t="s">
        <v>79</v>
      </c>
      <c r="V1" s="18"/>
      <c r="W1" s="18"/>
      <c r="X1" s="18"/>
      <c r="Y1" s="18"/>
      <c r="Z1" s="18"/>
      <c r="AA1" s="18"/>
      <c r="AB1" s="18"/>
      <c r="AC1" s="18"/>
      <c r="AD1" s="18"/>
      <c r="AE1" s="19"/>
    </row>
    <row r="2" spans="2:38">
      <c r="B2" s="234" t="s">
        <v>14</v>
      </c>
      <c r="C2" s="21"/>
      <c r="D2" s="21"/>
      <c r="E2" s="21"/>
      <c r="F2" s="21"/>
      <c r="G2" s="21"/>
      <c r="H2" s="21"/>
      <c r="I2" s="21"/>
      <c r="J2" s="77"/>
      <c r="U2" s="234" t="s">
        <v>14</v>
      </c>
      <c r="V2" s="21"/>
      <c r="W2" s="21"/>
      <c r="X2" s="21"/>
      <c r="Y2" s="21"/>
      <c r="Z2" s="21"/>
      <c r="AA2" s="21"/>
      <c r="AB2" s="21"/>
      <c r="AC2" s="21"/>
      <c r="AD2" s="21"/>
      <c r="AE2" s="77"/>
    </row>
    <row r="3" spans="2:38">
      <c r="B3" s="234" t="s">
        <v>17</v>
      </c>
      <c r="C3" s="21"/>
      <c r="D3" s="21"/>
      <c r="E3" s="21"/>
      <c r="F3" s="21"/>
      <c r="G3" s="21"/>
      <c r="H3" s="21"/>
      <c r="I3" s="21"/>
      <c r="J3" s="77"/>
      <c r="U3" s="234" t="s">
        <v>21</v>
      </c>
      <c r="V3" s="21"/>
      <c r="W3" s="21"/>
      <c r="X3" s="21"/>
      <c r="Y3" s="21"/>
      <c r="Z3" s="21"/>
      <c r="AA3" s="21"/>
      <c r="AB3" s="21"/>
      <c r="AC3" s="21"/>
      <c r="AD3" s="21"/>
      <c r="AE3" s="77"/>
    </row>
    <row r="4" spans="2:38">
      <c r="B4" s="234" t="s">
        <v>15</v>
      </c>
      <c r="C4" s="21"/>
      <c r="D4" s="21"/>
      <c r="E4" s="21"/>
      <c r="F4" s="21"/>
      <c r="G4" s="21"/>
      <c r="H4" s="21"/>
      <c r="I4" s="21"/>
      <c r="J4" s="77"/>
      <c r="U4" s="234" t="s">
        <v>22</v>
      </c>
      <c r="V4" s="21"/>
      <c r="W4" s="21"/>
      <c r="X4" s="21"/>
      <c r="Y4" s="21"/>
      <c r="Z4" s="21"/>
      <c r="AA4" s="21"/>
      <c r="AB4" s="21"/>
      <c r="AC4" s="21"/>
      <c r="AD4" s="21"/>
      <c r="AE4" s="77"/>
    </row>
    <row r="5" spans="2:38" ht="15.75" thickBot="1">
      <c r="B5" s="235" t="s">
        <v>16</v>
      </c>
      <c r="C5" s="81"/>
      <c r="D5" s="81"/>
      <c r="E5" s="81"/>
      <c r="F5" s="81"/>
      <c r="G5" s="81"/>
      <c r="H5" s="81"/>
      <c r="I5" s="81"/>
      <c r="J5" s="83"/>
      <c r="U5" s="235" t="s">
        <v>16</v>
      </c>
      <c r="V5" s="81"/>
      <c r="W5" s="81"/>
      <c r="X5" s="81"/>
      <c r="Y5" s="81"/>
      <c r="Z5" s="81"/>
      <c r="AA5" s="81"/>
      <c r="AB5" s="81"/>
      <c r="AC5" s="81"/>
      <c r="AD5" s="81"/>
      <c r="AE5" s="83"/>
    </row>
    <row r="6" spans="2:38">
      <c r="B6" s="7"/>
    </row>
    <row r="7" spans="2:38" ht="15.75" thickBot="1">
      <c r="C7" s="7">
        <v>1</v>
      </c>
      <c r="D7" s="17">
        <v>2</v>
      </c>
      <c r="E7" s="7">
        <v>3</v>
      </c>
      <c r="F7" s="17">
        <v>4</v>
      </c>
      <c r="G7" s="7">
        <v>5</v>
      </c>
      <c r="H7" s="17">
        <v>6</v>
      </c>
      <c r="I7" s="7">
        <v>7</v>
      </c>
      <c r="J7" s="17">
        <v>8</v>
      </c>
      <c r="K7" s="7">
        <v>9</v>
      </c>
      <c r="L7" s="7">
        <v>1</v>
      </c>
      <c r="M7" s="17">
        <v>2</v>
      </c>
      <c r="N7" s="7">
        <v>3</v>
      </c>
      <c r="O7" s="17">
        <v>4</v>
      </c>
      <c r="P7" s="7">
        <v>5</v>
      </c>
      <c r="Q7" s="17">
        <v>6</v>
      </c>
      <c r="R7" s="7">
        <v>7</v>
      </c>
      <c r="S7" s="17">
        <v>8</v>
      </c>
      <c r="T7" s="7">
        <v>9</v>
      </c>
      <c r="U7" s="7">
        <v>1</v>
      </c>
      <c r="V7" s="17">
        <v>2</v>
      </c>
      <c r="W7" s="7">
        <v>3</v>
      </c>
      <c r="X7" s="17">
        <v>4</v>
      </c>
      <c r="Y7" s="7">
        <v>5</v>
      </c>
      <c r="Z7" s="17">
        <v>6</v>
      </c>
      <c r="AA7" s="7">
        <v>7</v>
      </c>
      <c r="AB7" s="17">
        <v>8</v>
      </c>
      <c r="AC7" s="7">
        <v>9</v>
      </c>
      <c r="AD7" s="7">
        <v>1</v>
      </c>
      <c r="AE7" s="17">
        <v>2</v>
      </c>
      <c r="AF7" s="7">
        <v>3</v>
      </c>
      <c r="AG7" s="17">
        <v>4</v>
      </c>
      <c r="AH7" s="7">
        <v>5</v>
      </c>
      <c r="AI7" s="17">
        <v>6</v>
      </c>
      <c r="AJ7" s="7">
        <v>7</v>
      </c>
      <c r="AK7" s="17">
        <v>8</v>
      </c>
      <c r="AL7" s="7">
        <v>9</v>
      </c>
    </row>
    <row r="8" spans="2:38" ht="15.75" thickBot="1">
      <c r="C8" s="207" t="s">
        <v>18</v>
      </c>
      <c r="D8" s="208"/>
      <c r="E8" s="208"/>
      <c r="F8" s="208"/>
      <c r="G8" s="208"/>
      <c r="H8" s="208"/>
      <c r="I8" s="208"/>
      <c r="J8" s="208"/>
      <c r="K8" s="209"/>
      <c r="L8" s="207" t="s">
        <v>19</v>
      </c>
      <c r="M8" s="208"/>
      <c r="N8" s="208"/>
      <c r="O8" s="208"/>
      <c r="P8" s="208"/>
      <c r="Q8" s="208"/>
      <c r="R8" s="208"/>
      <c r="S8" s="208"/>
      <c r="T8" s="209"/>
      <c r="U8" s="207" t="s">
        <v>18</v>
      </c>
      <c r="V8" s="208"/>
      <c r="W8" s="208"/>
      <c r="X8" s="208"/>
      <c r="Y8" s="208"/>
      <c r="Z8" s="208"/>
      <c r="AA8" s="208"/>
      <c r="AB8" s="208"/>
      <c r="AC8" s="209"/>
      <c r="AD8" s="207" t="s">
        <v>19</v>
      </c>
      <c r="AE8" s="208"/>
      <c r="AF8" s="208"/>
      <c r="AG8" s="208"/>
      <c r="AH8" s="208"/>
      <c r="AI8" s="208"/>
      <c r="AJ8" s="208"/>
      <c r="AK8" s="208"/>
      <c r="AL8" s="209"/>
    </row>
    <row r="9" spans="2:38" ht="30.75" thickBot="1">
      <c r="B9" s="22" t="s">
        <v>13</v>
      </c>
      <c r="C9" s="210" t="s">
        <v>4</v>
      </c>
      <c r="D9" s="210" t="s">
        <v>5</v>
      </c>
      <c r="E9" s="210" t="s">
        <v>6</v>
      </c>
      <c r="F9" s="210" t="s">
        <v>7</v>
      </c>
      <c r="G9" s="210" t="s">
        <v>8</v>
      </c>
      <c r="H9" s="210" t="s">
        <v>9</v>
      </c>
      <c r="I9" s="210" t="s">
        <v>10</v>
      </c>
      <c r="J9" s="210" t="s">
        <v>11</v>
      </c>
      <c r="K9" s="210" t="s">
        <v>12</v>
      </c>
      <c r="L9" s="211" t="s">
        <v>4</v>
      </c>
      <c r="M9" s="210" t="s">
        <v>5</v>
      </c>
      <c r="N9" s="210" t="s">
        <v>6</v>
      </c>
      <c r="O9" s="210" t="s">
        <v>7</v>
      </c>
      <c r="P9" s="210" t="s">
        <v>8</v>
      </c>
      <c r="Q9" s="210" t="s">
        <v>9</v>
      </c>
      <c r="R9" s="210" t="s">
        <v>10</v>
      </c>
      <c r="S9" s="210" t="s">
        <v>11</v>
      </c>
      <c r="T9" s="210" t="s">
        <v>12</v>
      </c>
      <c r="U9" s="211" t="s">
        <v>4</v>
      </c>
      <c r="V9" s="210" t="s">
        <v>5</v>
      </c>
      <c r="W9" s="210" t="s">
        <v>6</v>
      </c>
      <c r="X9" s="210" t="s">
        <v>7</v>
      </c>
      <c r="Y9" s="210" t="s">
        <v>8</v>
      </c>
      <c r="Z9" s="210" t="s">
        <v>9</v>
      </c>
      <c r="AA9" s="210" t="s">
        <v>10</v>
      </c>
      <c r="AB9" s="210" t="s">
        <v>11</v>
      </c>
      <c r="AC9" s="210" t="s">
        <v>12</v>
      </c>
      <c r="AD9" s="211" t="s">
        <v>4</v>
      </c>
      <c r="AE9" s="210" t="s">
        <v>5</v>
      </c>
      <c r="AF9" s="210" t="s">
        <v>6</v>
      </c>
      <c r="AG9" s="210" t="s">
        <v>7</v>
      </c>
      <c r="AH9" s="210" t="s">
        <v>8</v>
      </c>
      <c r="AI9" s="210" t="s">
        <v>9</v>
      </c>
      <c r="AJ9" s="210" t="s">
        <v>10</v>
      </c>
      <c r="AK9" s="210" t="s">
        <v>11</v>
      </c>
      <c r="AL9" s="210" t="s">
        <v>12</v>
      </c>
    </row>
    <row r="10" spans="2:38">
      <c r="B10" s="175">
        <v>10</v>
      </c>
      <c r="C10" s="176">
        <v>87</v>
      </c>
      <c r="D10" s="177">
        <v>105</v>
      </c>
      <c r="E10" s="177">
        <v>80</v>
      </c>
      <c r="F10" s="177">
        <v>92</v>
      </c>
      <c r="G10" s="177">
        <v>67</v>
      </c>
      <c r="H10" s="177">
        <v>55</v>
      </c>
      <c r="I10" s="177">
        <v>63</v>
      </c>
      <c r="J10" s="177">
        <v>65</v>
      </c>
      <c r="K10" s="178">
        <v>78</v>
      </c>
      <c r="L10" s="179">
        <v>0</v>
      </c>
      <c r="M10" s="177">
        <v>0</v>
      </c>
      <c r="N10" s="177">
        <v>0</v>
      </c>
      <c r="O10" s="177">
        <v>0</v>
      </c>
      <c r="P10" s="177">
        <v>0</v>
      </c>
      <c r="Q10" s="177">
        <v>0</v>
      </c>
      <c r="R10" s="177">
        <v>0</v>
      </c>
      <c r="S10" s="177">
        <v>0</v>
      </c>
      <c r="T10" s="180">
        <v>0</v>
      </c>
      <c r="U10" s="181">
        <v>97</v>
      </c>
      <c r="V10" s="182">
        <v>116</v>
      </c>
      <c r="W10" s="182">
        <v>88</v>
      </c>
      <c r="X10" s="182">
        <v>102</v>
      </c>
      <c r="Y10" s="182">
        <v>75</v>
      </c>
      <c r="Z10" s="182">
        <v>60</v>
      </c>
      <c r="AA10" s="182">
        <v>68</v>
      </c>
      <c r="AB10" s="182">
        <v>70</v>
      </c>
      <c r="AC10" s="183">
        <v>84</v>
      </c>
      <c r="AD10" s="184">
        <v>0</v>
      </c>
      <c r="AE10" s="182">
        <v>0</v>
      </c>
      <c r="AF10" s="182">
        <v>0</v>
      </c>
      <c r="AG10" s="182">
        <v>0</v>
      </c>
      <c r="AH10" s="182">
        <v>0</v>
      </c>
      <c r="AI10" s="182">
        <v>0</v>
      </c>
      <c r="AJ10" s="182">
        <v>0</v>
      </c>
      <c r="AK10" s="182">
        <v>0</v>
      </c>
      <c r="AL10" s="183">
        <v>0</v>
      </c>
    </row>
    <row r="11" spans="2:38">
      <c r="B11" s="185">
        <v>16</v>
      </c>
      <c r="C11" s="186">
        <v>114</v>
      </c>
      <c r="D11" s="187">
        <v>137</v>
      </c>
      <c r="E11" s="187">
        <v>104</v>
      </c>
      <c r="F11" s="187">
        <v>120</v>
      </c>
      <c r="G11" s="187">
        <v>87</v>
      </c>
      <c r="H11" s="187">
        <v>70</v>
      </c>
      <c r="I11" s="187">
        <v>81</v>
      </c>
      <c r="J11" s="187">
        <v>84</v>
      </c>
      <c r="K11" s="188">
        <v>99</v>
      </c>
      <c r="L11" s="189">
        <v>118</v>
      </c>
      <c r="M11" s="187">
        <v>137</v>
      </c>
      <c r="N11" s="187">
        <v>107</v>
      </c>
      <c r="O11" s="187">
        <v>120</v>
      </c>
      <c r="P11" s="187">
        <v>91</v>
      </c>
      <c r="Q11" s="187">
        <v>72</v>
      </c>
      <c r="R11" s="187">
        <v>83</v>
      </c>
      <c r="S11" s="187">
        <v>84</v>
      </c>
      <c r="T11" s="190">
        <v>98</v>
      </c>
      <c r="U11" s="191">
        <v>127</v>
      </c>
      <c r="V11" s="192">
        <v>152</v>
      </c>
      <c r="W11" s="192">
        <v>115</v>
      </c>
      <c r="X11" s="192">
        <v>133</v>
      </c>
      <c r="Y11" s="192">
        <v>97</v>
      </c>
      <c r="Z11" s="192">
        <v>76</v>
      </c>
      <c r="AA11" s="192">
        <v>88</v>
      </c>
      <c r="AB11" s="192">
        <v>90</v>
      </c>
      <c r="AC11" s="193">
        <v>107</v>
      </c>
      <c r="AD11" s="194">
        <v>131</v>
      </c>
      <c r="AE11" s="192">
        <v>151</v>
      </c>
      <c r="AF11" s="192">
        <v>118</v>
      </c>
      <c r="AG11" s="192">
        <v>132</v>
      </c>
      <c r="AH11" s="192">
        <v>102</v>
      </c>
      <c r="AI11" s="192">
        <v>78</v>
      </c>
      <c r="AJ11" s="192">
        <v>90</v>
      </c>
      <c r="AK11" s="192">
        <v>91</v>
      </c>
      <c r="AL11" s="193">
        <v>106</v>
      </c>
    </row>
    <row r="12" spans="2:38">
      <c r="B12" s="185">
        <v>25</v>
      </c>
      <c r="C12" s="186">
        <v>150</v>
      </c>
      <c r="D12" s="187">
        <v>181</v>
      </c>
      <c r="E12" s="187">
        <v>135</v>
      </c>
      <c r="F12" s="187">
        <v>156</v>
      </c>
      <c r="G12" s="187">
        <v>112</v>
      </c>
      <c r="H12" s="187">
        <v>90</v>
      </c>
      <c r="I12" s="187">
        <v>104</v>
      </c>
      <c r="J12" s="187">
        <v>107</v>
      </c>
      <c r="K12" s="188">
        <v>126</v>
      </c>
      <c r="L12" s="189">
        <v>154</v>
      </c>
      <c r="M12" s="187">
        <v>179</v>
      </c>
      <c r="N12" s="187">
        <v>138</v>
      </c>
      <c r="O12" s="187">
        <v>155</v>
      </c>
      <c r="P12" s="187">
        <v>117</v>
      </c>
      <c r="Q12" s="187">
        <v>92</v>
      </c>
      <c r="R12" s="187">
        <v>106</v>
      </c>
      <c r="S12" s="187">
        <v>108</v>
      </c>
      <c r="T12" s="190">
        <v>125</v>
      </c>
      <c r="U12" s="191">
        <v>167</v>
      </c>
      <c r="V12" s="192">
        <v>201</v>
      </c>
      <c r="W12" s="192">
        <v>150</v>
      </c>
      <c r="X12" s="192">
        <v>173</v>
      </c>
      <c r="Y12" s="192">
        <v>126</v>
      </c>
      <c r="Z12" s="192">
        <v>98</v>
      </c>
      <c r="AA12" s="192">
        <v>112</v>
      </c>
      <c r="AB12" s="192">
        <v>115</v>
      </c>
      <c r="AC12" s="193">
        <v>136</v>
      </c>
      <c r="AD12" s="194">
        <v>171</v>
      </c>
      <c r="AE12" s="192">
        <v>199</v>
      </c>
      <c r="AF12" s="192">
        <v>153</v>
      </c>
      <c r="AG12" s="192">
        <v>171</v>
      </c>
      <c r="AH12" s="192">
        <v>131</v>
      </c>
      <c r="AI12" s="192">
        <v>100</v>
      </c>
      <c r="AJ12" s="192">
        <v>114</v>
      </c>
      <c r="AK12" s="192">
        <v>116</v>
      </c>
      <c r="AL12" s="193">
        <v>135</v>
      </c>
    </row>
    <row r="13" spans="2:38">
      <c r="B13" s="185">
        <v>35</v>
      </c>
      <c r="C13" s="186">
        <v>183</v>
      </c>
      <c r="D13" s="187">
        <v>221</v>
      </c>
      <c r="E13" s="187">
        <v>164</v>
      </c>
      <c r="F13" s="187">
        <v>189</v>
      </c>
      <c r="G13" s="187">
        <v>136</v>
      </c>
      <c r="H13" s="187">
        <v>108</v>
      </c>
      <c r="I13" s="187">
        <v>124</v>
      </c>
      <c r="J13" s="187">
        <v>128</v>
      </c>
      <c r="K13" s="188">
        <v>150</v>
      </c>
      <c r="L13" s="189">
        <v>186</v>
      </c>
      <c r="M13" s="187">
        <v>217</v>
      </c>
      <c r="N13" s="187">
        <v>166</v>
      </c>
      <c r="O13" s="187">
        <v>187</v>
      </c>
      <c r="P13" s="187">
        <v>139</v>
      </c>
      <c r="Q13" s="187">
        <v>109</v>
      </c>
      <c r="R13" s="187">
        <v>126</v>
      </c>
      <c r="S13" s="187">
        <v>128</v>
      </c>
      <c r="T13" s="190">
        <v>149</v>
      </c>
      <c r="U13" s="191">
        <v>204</v>
      </c>
      <c r="V13" s="192">
        <v>245</v>
      </c>
      <c r="W13" s="192">
        <v>182</v>
      </c>
      <c r="X13" s="192">
        <v>209</v>
      </c>
      <c r="Y13" s="192">
        <v>153</v>
      </c>
      <c r="Z13" s="192">
        <v>117</v>
      </c>
      <c r="AA13" s="192">
        <v>134</v>
      </c>
      <c r="AB13" s="192">
        <v>137</v>
      </c>
      <c r="AC13" s="193">
        <v>162</v>
      </c>
      <c r="AD13" s="194">
        <v>207</v>
      </c>
      <c r="AE13" s="192">
        <v>240</v>
      </c>
      <c r="AF13" s="192">
        <v>184</v>
      </c>
      <c r="AG13" s="192">
        <v>206</v>
      </c>
      <c r="AH13" s="192">
        <v>156</v>
      </c>
      <c r="AI13" s="192">
        <v>118</v>
      </c>
      <c r="AJ13" s="192">
        <v>136</v>
      </c>
      <c r="AK13" s="192">
        <v>138</v>
      </c>
      <c r="AL13" s="193">
        <v>161</v>
      </c>
    </row>
    <row r="14" spans="2:38">
      <c r="B14" s="185">
        <v>50</v>
      </c>
      <c r="C14" s="186">
        <v>221</v>
      </c>
      <c r="D14" s="187">
        <v>267</v>
      </c>
      <c r="E14" s="187">
        <v>196</v>
      </c>
      <c r="F14" s="187">
        <v>226</v>
      </c>
      <c r="G14" s="187">
        <v>162</v>
      </c>
      <c r="H14" s="187">
        <v>127</v>
      </c>
      <c r="I14" s="187">
        <v>147</v>
      </c>
      <c r="J14" s="187">
        <v>150</v>
      </c>
      <c r="K14" s="188">
        <v>176</v>
      </c>
      <c r="L14" s="189">
        <v>225</v>
      </c>
      <c r="M14" s="187">
        <v>259</v>
      </c>
      <c r="N14" s="187">
        <v>199</v>
      </c>
      <c r="O14" s="187">
        <v>221</v>
      </c>
      <c r="P14" s="187">
        <v>166</v>
      </c>
      <c r="Q14" s="187">
        <v>128</v>
      </c>
      <c r="R14" s="187">
        <v>148</v>
      </c>
      <c r="S14" s="187">
        <v>151</v>
      </c>
      <c r="T14" s="190">
        <v>175</v>
      </c>
      <c r="U14" s="191">
        <v>246</v>
      </c>
      <c r="V14" s="192">
        <v>297</v>
      </c>
      <c r="W14" s="192">
        <v>218</v>
      </c>
      <c r="X14" s="192">
        <v>250</v>
      </c>
      <c r="Y14" s="192">
        <v>183</v>
      </c>
      <c r="Z14" s="192">
        <v>138</v>
      </c>
      <c r="AA14" s="192">
        <v>158</v>
      </c>
      <c r="AB14" s="192">
        <v>162</v>
      </c>
      <c r="AC14" s="193">
        <v>190</v>
      </c>
      <c r="AD14" s="194">
        <v>250</v>
      </c>
      <c r="AE14" s="192">
        <v>286</v>
      </c>
      <c r="AF14" s="192">
        <v>220</v>
      </c>
      <c r="AG14" s="192">
        <v>244</v>
      </c>
      <c r="AH14" s="192">
        <v>187</v>
      </c>
      <c r="AI14" s="192">
        <v>139</v>
      </c>
      <c r="AJ14" s="192">
        <v>160</v>
      </c>
      <c r="AK14" s="192">
        <v>163</v>
      </c>
      <c r="AL14" s="193">
        <v>189</v>
      </c>
    </row>
    <row r="15" spans="2:38">
      <c r="B15" s="185">
        <v>70</v>
      </c>
      <c r="C15" s="186">
        <v>275</v>
      </c>
      <c r="D15" s="187">
        <v>333</v>
      </c>
      <c r="E15" s="187">
        <v>243</v>
      </c>
      <c r="F15" s="187">
        <v>279</v>
      </c>
      <c r="G15" s="187">
        <v>200</v>
      </c>
      <c r="H15" s="187">
        <v>154</v>
      </c>
      <c r="I15" s="187">
        <v>178</v>
      </c>
      <c r="J15" s="187">
        <v>183</v>
      </c>
      <c r="K15" s="188">
        <v>212</v>
      </c>
      <c r="L15" s="189">
        <v>279</v>
      </c>
      <c r="M15" s="187">
        <v>323</v>
      </c>
      <c r="N15" s="187">
        <v>245</v>
      </c>
      <c r="O15" s="187">
        <v>273</v>
      </c>
      <c r="P15" s="187">
        <v>205</v>
      </c>
      <c r="Q15" s="187">
        <v>156</v>
      </c>
      <c r="R15" s="187">
        <v>181</v>
      </c>
      <c r="S15" s="187">
        <v>184</v>
      </c>
      <c r="T15" s="190">
        <v>211</v>
      </c>
      <c r="U15" s="191">
        <v>307</v>
      </c>
      <c r="V15" s="192">
        <v>370</v>
      </c>
      <c r="W15" s="192">
        <v>269</v>
      </c>
      <c r="X15" s="192">
        <v>308</v>
      </c>
      <c r="Y15" s="192">
        <v>225</v>
      </c>
      <c r="Z15" s="192">
        <v>168</v>
      </c>
      <c r="AA15" s="192">
        <v>192</v>
      </c>
      <c r="AB15" s="192">
        <v>197</v>
      </c>
      <c r="AC15" s="193">
        <v>229</v>
      </c>
      <c r="AD15" s="194">
        <v>311</v>
      </c>
      <c r="AE15" s="192">
        <v>357</v>
      </c>
      <c r="AF15" s="192">
        <v>272</v>
      </c>
      <c r="AG15" s="192">
        <v>301</v>
      </c>
      <c r="AH15" s="192">
        <v>230</v>
      </c>
      <c r="AI15" s="192">
        <v>169</v>
      </c>
      <c r="AJ15" s="192">
        <v>195</v>
      </c>
      <c r="AK15" s="192">
        <v>198</v>
      </c>
      <c r="AL15" s="193">
        <v>228</v>
      </c>
    </row>
    <row r="16" spans="2:38">
      <c r="B16" s="185">
        <v>95</v>
      </c>
      <c r="C16" s="186">
        <v>337</v>
      </c>
      <c r="D16" s="187">
        <v>407</v>
      </c>
      <c r="E16" s="187">
        <v>294</v>
      </c>
      <c r="F16" s="187">
        <v>336</v>
      </c>
      <c r="G16" s="187">
        <v>243</v>
      </c>
      <c r="H16" s="187">
        <v>184</v>
      </c>
      <c r="I16" s="187">
        <v>213</v>
      </c>
      <c r="J16" s="187">
        <v>218</v>
      </c>
      <c r="K16" s="188">
        <v>250</v>
      </c>
      <c r="L16" s="189">
        <v>341</v>
      </c>
      <c r="M16" s="187">
        <v>394</v>
      </c>
      <c r="N16" s="187">
        <v>297</v>
      </c>
      <c r="O16" s="187">
        <v>329</v>
      </c>
      <c r="P16" s="187">
        <v>247</v>
      </c>
      <c r="Q16" s="187">
        <v>186</v>
      </c>
      <c r="R16" s="187">
        <v>215</v>
      </c>
      <c r="S16" s="187">
        <v>219</v>
      </c>
      <c r="T16" s="190">
        <v>250</v>
      </c>
      <c r="U16" s="191">
        <v>376</v>
      </c>
      <c r="V16" s="192">
        <v>453</v>
      </c>
      <c r="W16" s="192">
        <v>327</v>
      </c>
      <c r="X16" s="192">
        <v>372</v>
      </c>
      <c r="Y16" s="192">
        <v>273</v>
      </c>
      <c r="Z16" s="192">
        <v>200</v>
      </c>
      <c r="AA16" s="192">
        <v>229</v>
      </c>
      <c r="AB16" s="192">
        <v>235</v>
      </c>
      <c r="AC16" s="193">
        <v>270</v>
      </c>
      <c r="AD16" s="194">
        <v>379</v>
      </c>
      <c r="AE16" s="192">
        <v>436</v>
      </c>
      <c r="AF16" s="192">
        <v>329</v>
      </c>
      <c r="AG16" s="192">
        <v>362</v>
      </c>
      <c r="AH16" s="192">
        <v>278</v>
      </c>
      <c r="AI16" s="192">
        <v>202</v>
      </c>
      <c r="AJ16" s="192">
        <v>232</v>
      </c>
      <c r="AK16" s="192">
        <v>236</v>
      </c>
      <c r="AL16" s="193">
        <v>269</v>
      </c>
    </row>
    <row r="17" spans="2:38">
      <c r="B17" s="185">
        <v>120</v>
      </c>
      <c r="C17" s="186">
        <v>390</v>
      </c>
      <c r="D17" s="187">
        <v>470</v>
      </c>
      <c r="E17" s="187">
        <v>338</v>
      </c>
      <c r="F17" s="187">
        <v>384</v>
      </c>
      <c r="G17" s="187">
        <v>278</v>
      </c>
      <c r="H17" s="187">
        <v>209</v>
      </c>
      <c r="I17" s="187">
        <v>241</v>
      </c>
      <c r="J17" s="187">
        <v>247</v>
      </c>
      <c r="K17" s="188">
        <v>281</v>
      </c>
      <c r="L17" s="189">
        <v>393</v>
      </c>
      <c r="M17" s="187">
        <v>454</v>
      </c>
      <c r="N17" s="187">
        <v>340</v>
      </c>
      <c r="O17" s="187">
        <v>375</v>
      </c>
      <c r="P17" s="187">
        <v>283</v>
      </c>
      <c r="Q17" s="187">
        <v>211</v>
      </c>
      <c r="R17" s="187">
        <v>244</v>
      </c>
      <c r="S17" s="187">
        <v>248</v>
      </c>
      <c r="T17" s="190">
        <v>281</v>
      </c>
      <c r="U17" s="191">
        <v>435</v>
      </c>
      <c r="V17" s="192">
        <v>523</v>
      </c>
      <c r="W17" s="192">
        <v>375</v>
      </c>
      <c r="X17" s="192">
        <v>425</v>
      </c>
      <c r="Y17" s="192">
        <v>313</v>
      </c>
      <c r="Z17" s="192">
        <v>227</v>
      </c>
      <c r="AA17" s="192">
        <v>260</v>
      </c>
      <c r="AB17" s="192">
        <v>266</v>
      </c>
      <c r="AC17" s="193">
        <v>303</v>
      </c>
      <c r="AD17" s="194">
        <v>438</v>
      </c>
      <c r="AE17" s="192">
        <v>503</v>
      </c>
      <c r="AF17" s="192">
        <v>377</v>
      </c>
      <c r="AG17" s="192">
        <v>414</v>
      </c>
      <c r="AH17" s="192">
        <v>319</v>
      </c>
      <c r="AI17" s="192">
        <v>229</v>
      </c>
      <c r="AJ17" s="192">
        <v>263</v>
      </c>
      <c r="AK17" s="192">
        <v>267</v>
      </c>
      <c r="AL17" s="193">
        <v>303</v>
      </c>
    </row>
    <row r="18" spans="2:38">
      <c r="B18" s="185">
        <v>150</v>
      </c>
      <c r="C18" s="186">
        <v>445</v>
      </c>
      <c r="D18" s="187">
        <v>536</v>
      </c>
      <c r="E18" s="187">
        <v>382</v>
      </c>
      <c r="F18" s="187">
        <v>433</v>
      </c>
      <c r="G18" s="187">
        <v>315</v>
      </c>
      <c r="H18" s="187">
        <v>234</v>
      </c>
      <c r="I18" s="187">
        <v>270</v>
      </c>
      <c r="J18" s="187">
        <v>276</v>
      </c>
      <c r="K18" s="188">
        <v>311</v>
      </c>
      <c r="L18" s="189">
        <v>448</v>
      </c>
      <c r="M18" s="187">
        <v>516</v>
      </c>
      <c r="N18" s="187">
        <v>385</v>
      </c>
      <c r="O18" s="187">
        <v>423</v>
      </c>
      <c r="P18" s="187">
        <v>320</v>
      </c>
      <c r="Q18" s="187">
        <v>236</v>
      </c>
      <c r="R18" s="187">
        <v>273</v>
      </c>
      <c r="S18" s="187">
        <v>278</v>
      </c>
      <c r="T18" s="190">
        <v>311</v>
      </c>
      <c r="U18" s="191">
        <v>496</v>
      </c>
      <c r="V18" s="192">
        <v>596</v>
      </c>
      <c r="W18" s="192">
        <v>424</v>
      </c>
      <c r="X18" s="192">
        <v>479</v>
      </c>
      <c r="Y18" s="192">
        <v>354</v>
      </c>
      <c r="Z18" s="192">
        <v>254</v>
      </c>
      <c r="AA18" s="192">
        <v>291</v>
      </c>
      <c r="AB18" s="192">
        <v>298</v>
      </c>
      <c r="AC18" s="193">
        <v>336</v>
      </c>
      <c r="AD18" s="194">
        <v>498</v>
      </c>
      <c r="AE18" s="192">
        <v>572</v>
      </c>
      <c r="AF18" s="192">
        <v>426</v>
      </c>
      <c r="AG18" s="192">
        <v>467</v>
      </c>
      <c r="AH18" s="192">
        <v>360</v>
      </c>
      <c r="AI18" s="192">
        <v>256</v>
      </c>
      <c r="AJ18" s="192">
        <v>294</v>
      </c>
      <c r="AK18" s="192">
        <v>299</v>
      </c>
      <c r="AL18" s="193">
        <v>336</v>
      </c>
    </row>
    <row r="19" spans="2:38">
      <c r="B19" s="185">
        <v>185</v>
      </c>
      <c r="C19" s="186">
        <v>510</v>
      </c>
      <c r="D19" s="187">
        <v>613</v>
      </c>
      <c r="E19" s="187">
        <v>435</v>
      </c>
      <c r="F19" s="187">
        <v>491</v>
      </c>
      <c r="G19" s="187">
        <v>357</v>
      </c>
      <c r="H19" s="187">
        <v>263</v>
      </c>
      <c r="I19" s="187">
        <v>304</v>
      </c>
      <c r="J19" s="187">
        <v>311</v>
      </c>
      <c r="K19" s="188">
        <v>347</v>
      </c>
      <c r="L19" s="189">
        <v>513</v>
      </c>
      <c r="M19" s="187">
        <v>595</v>
      </c>
      <c r="N19" s="187">
        <v>437</v>
      </c>
      <c r="O19" s="187">
        <v>482</v>
      </c>
      <c r="P19" s="187">
        <v>363</v>
      </c>
      <c r="Q19" s="187">
        <v>265</v>
      </c>
      <c r="R19" s="187">
        <v>307</v>
      </c>
      <c r="S19" s="187">
        <v>312</v>
      </c>
      <c r="T19" s="190">
        <v>347</v>
      </c>
      <c r="U19" s="191">
        <v>568</v>
      </c>
      <c r="V19" s="192">
        <v>683</v>
      </c>
      <c r="W19" s="192">
        <v>482</v>
      </c>
      <c r="X19" s="192">
        <v>543</v>
      </c>
      <c r="Y19" s="192">
        <v>403</v>
      </c>
      <c r="Z19" s="192">
        <v>286</v>
      </c>
      <c r="AA19" s="192">
        <v>328</v>
      </c>
      <c r="AB19" s="192">
        <v>335</v>
      </c>
      <c r="AC19" s="193">
        <v>375</v>
      </c>
      <c r="AD19" s="194">
        <v>571</v>
      </c>
      <c r="AE19" s="192">
        <v>660</v>
      </c>
      <c r="AF19" s="192">
        <v>484</v>
      </c>
      <c r="AG19" s="192">
        <v>532</v>
      </c>
      <c r="AH19" s="192">
        <v>409</v>
      </c>
      <c r="AI19" s="192">
        <v>288</v>
      </c>
      <c r="AJ19" s="192">
        <v>331</v>
      </c>
      <c r="AK19" s="192">
        <v>337</v>
      </c>
      <c r="AL19" s="193">
        <v>375</v>
      </c>
    </row>
    <row r="20" spans="2:38">
      <c r="B20" s="185">
        <v>240</v>
      </c>
      <c r="C20" s="186">
        <v>602</v>
      </c>
      <c r="D20" s="187">
        <v>721</v>
      </c>
      <c r="E20" s="187">
        <v>509</v>
      </c>
      <c r="F20" s="187">
        <v>569</v>
      </c>
      <c r="G20" s="187">
        <v>419</v>
      </c>
      <c r="H20" s="187">
        <v>303</v>
      </c>
      <c r="I20" s="187">
        <v>351</v>
      </c>
      <c r="J20" s="187">
        <v>358</v>
      </c>
      <c r="K20" s="188">
        <v>395</v>
      </c>
      <c r="L20" s="189">
        <v>604</v>
      </c>
      <c r="M20" s="187">
        <v>702</v>
      </c>
      <c r="N20" s="187">
        <v>510</v>
      </c>
      <c r="O20" s="187">
        <v>560</v>
      </c>
      <c r="P20" s="187">
        <v>425</v>
      </c>
      <c r="Q20" s="187">
        <v>306</v>
      </c>
      <c r="R20" s="187">
        <v>355</v>
      </c>
      <c r="S20" s="187">
        <v>360</v>
      </c>
      <c r="T20" s="190">
        <v>395</v>
      </c>
      <c r="U20" s="191">
        <v>672</v>
      </c>
      <c r="V20" s="192">
        <v>802</v>
      </c>
      <c r="W20" s="192">
        <v>564</v>
      </c>
      <c r="X20" s="192">
        <v>630</v>
      </c>
      <c r="Y20" s="192">
        <v>472</v>
      </c>
      <c r="Z20" s="192">
        <v>330</v>
      </c>
      <c r="AA20" s="192">
        <v>379</v>
      </c>
      <c r="AB20" s="192">
        <v>387</v>
      </c>
      <c r="AC20" s="193">
        <v>427</v>
      </c>
      <c r="AD20" s="194">
        <v>672</v>
      </c>
      <c r="AE20" s="192">
        <v>779</v>
      </c>
      <c r="AF20" s="192">
        <v>565</v>
      </c>
      <c r="AG20" s="192">
        <v>619</v>
      </c>
      <c r="AH20" s="192">
        <v>479</v>
      </c>
      <c r="AI20" s="192">
        <v>332</v>
      </c>
      <c r="AJ20" s="192">
        <v>383</v>
      </c>
      <c r="AK20" s="192">
        <v>389</v>
      </c>
      <c r="AL20" s="193">
        <v>427</v>
      </c>
    </row>
    <row r="21" spans="2:38">
      <c r="B21" s="185">
        <v>300</v>
      </c>
      <c r="C21" s="186">
        <v>687</v>
      </c>
      <c r="D21" s="187">
        <v>824</v>
      </c>
      <c r="E21" s="187">
        <v>575</v>
      </c>
      <c r="F21" s="187">
        <v>643</v>
      </c>
      <c r="G21" s="187">
        <v>474</v>
      </c>
      <c r="H21" s="187">
        <v>340</v>
      </c>
      <c r="I21" s="187">
        <v>394</v>
      </c>
      <c r="J21" s="187">
        <v>402</v>
      </c>
      <c r="K21" s="188">
        <v>437</v>
      </c>
      <c r="L21" s="189">
        <v>690</v>
      </c>
      <c r="M21" s="187">
        <v>802</v>
      </c>
      <c r="N21" s="187">
        <v>578</v>
      </c>
      <c r="O21" s="187">
        <v>633</v>
      </c>
      <c r="P21" s="187">
        <v>481</v>
      </c>
      <c r="Q21" s="187">
        <v>342</v>
      </c>
      <c r="R21" s="187">
        <v>398</v>
      </c>
      <c r="S21" s="187">
        <v>404</v>
      </c>
      <c r="T21" s="190">
        <v>439</v>
      </c>
      <c r="U21" s="191">
        <v>767</v>
      </c>
      <c r="V21" s="192">
        <v>918</v>
      </c>
      <c r="W21" s="192">
        <v>639</v>
      </c>
      <c r="X21" s="192">
        <v>712</v>
      </c>
      <c r="Y21" s="192">
        <v>535</v>
      </c>
      <c r="Z21" s="192">
        <v>369</v>
      </c>
      <c r="AA21" s="192">
        <v>426</v>
      </c>
      <c r="AB21" s="192">
        <v>434</v>
      </c>
      <c r="AC21" s="193">
        <v>473</v>
      </c>
      <c r="AD21" s="194">
        <v>768</v>
      </c>
      <c r="AE21" s="192">
        <v>891</v>
      </c>
      <c r="AF21" s="192">
        <v>641</v>
      </c>
      <c r="AG21" s="192">
        <v>699</v>
      </c>
      <c r="AH21" s="192">
        <v>542</v>
      </c>
      <c r="AI21" s="192">
        <v>372</v>
      </c>
      <c r="AJ21" s="192">
        <v>430</v>
      </c>
      <c r="AK21" s="192">
        <v>436</v>
      </c>
      <c r="AL21" s="193">
        <v>475</v>
      </c>
    </row>
    <row r="22" spans="2:38">
      <c r="B22" s="185">
        <v>400</v>
      </c>
      <c r="C22" s="186">
        <v>796</v>
      </c>
      <c r="D22" s="187">
        <v>959</v>
      </c>
      <c r="E22" s="187">
        <v>658</v>
      </c>
      <c r="F22" s="187">
        <v>734</v>
      </c>
      <c r="G22" s="187">
        <v>543</v>
      </c>
      <c r="H22" s="187">
        <v>382</v>
      </c>
      <c r="I22" s="187">
        <v>447</v>
      </c>
      <c r="J22" s="187">
        <v>453</v>
      </c>
      <c r="K22" s="188">
        <v>489</v>
      </c>
      <c r="L22" s="189">
        <v>800</v>
      </c>
      <c r="M22" s="187">
        <v>933</v>
      </c>
      <c r="N22" s="187">
        <v>661</v>
      </c>
      <c r="O22" s="187">
        <v>723</v>
      </c>
      <c r="P22" s="187">
        <v>550</v>
      </c>
      <c r="Q22" s="187">
        <v>386</v>
      </c>
      <c r="R22" s="187">
        <v>452</v>
      </c>
      <c r="S22" s="187">
        <v>457</v>
      </c>
      <c r="T22" s="190">
        <v>491</v>
      </c>
      <c r="U22" s="191">
        <v>890</v>
      </c>
      <c r="V22" s="192">
        <v>1070</v>
      </c>
      <c r="W22" s="192">
        <v>731</v>
      </c>
      <c r="X22" s="192">
        <v>814</v>
      </c>
      <c r="Y22" s="192">
        <v>613</v>
      </c>
      <c r="Z22" s="192">
        <v>416</v>
      </c>
      <c r="AA22" s="192">
        <v>483</v>
      </c>
      <c r="AB22" s="192">
        <v>490</v>
      </c>
      <c r="AC22" s="193">
        <v>529</v>
      </c>
      <c r="AD22" s="194">
        <v>891</v>
      </c>
      <c r="AE22" s="192">
        <v>1037</v>
      </c>
      <c r="AF22" s="192">
        <v>734</v>
      </c>
      <c r="AG22" s="192">
        <v>800</v>
      </c>
      <c r="AH22" s="192">
        <v>621</v>
      </c>
      <c r="AI22" s="192">
        <v>420</v>
      </c>
      <c r="AJ22" s="192">
        <v>488</v>
      </c>
      <c r="AK22" s="192">
        <v>493</v>
      </c>
      <c r="AL22" s="193">
        <v>531</v>
      </c>
    </row>
    <row r="23" spans="2:38">
      <c r="B23" s="185">
        <v>500</v>
      </c>
      <c r="C23" s="186">
        <v>907</v>
      </c>
      <c r="D23" s="187">
        <v>1100</v>
      </c>
      <c r="E23" s="187">
        <v>741</v>
      </c>
      <c r="F23" s="187">
        <v>829</v>
      </c>
      <c r="G23" s="187">
        <v>613</v>
      </c>
      <c r="H23" s="187">
        <v>426</v>
      </c>
      <c r="I23" s="187">
        <v>502</v>
      </c>
      <c r="J23" s="187">
        <v>506</v>
      </c>
      <c r="K23" s="188">
        <v>542</v>
      </c>
      <c r="L23" s="189">
        <v>912</v>
      </c>
      <c r="M23" s="187">
        <v>1070</v>
      </c>
      <c r="N23" s="187">
        <v>746</v>
      </c>
      <c r="O23" s="187">
        <v>817</v>
      </c>
      <c r="P23" s="187">
        <v>622</v>
      </c>
      <c r="Q23" s="187">
        <v>431</v>
      </c>
      <c r="R23" s="187">
        <v>507</v>
      </c>
      <c r="S23" s="187">
        <v>511</v>
      </c>
      <c r="T23" s="190">
        <v>544</v>
      </c>
      <c r="U23" s="191">
        <v>1015</v>
      </c>
      <c r="V23" s="192">
        <v>1229</v>
      </c>
      <c r="W23" s="192">
        <v>825</v>
      </c>
      <c r="X23" s="192">
        <v>920</v>
      </c>
      <c r="Y23" s="192">
        <v>693</v>
      </c>
      <c r="Z23" s="192">
        <v>465</v>
      </c>
      <c r="AA23" s="192">
        <v>543</v>
      </c>
      <c r="AB23" s="192">
        <v>548</v>
      </c>
      <c r="AC23" s="193">
        <v>588</v>
      </c>
      <c r="AD23" s="194">
        <v>1018</v>
      </c>
      <c r="AE23" s="192">
        <v>1192</v>
      </c>
      <c r="AF23" s="192">
        <v>829</v>
      </c>
      <c r="AG23" s="192">
        <v>905</v>
      </c>
      <c r="AH23" s="192">
        <v>703</v>
      </c>
      <c r="AI23" s="192">
        <v>469</v>
      </c>
      <c r="AJ23" s="192">
        <v>549</v>
      </c>
      <c r="AK23" s="192">
        <v>553</v>
      </c>
      <c r="AL23" s="193">
        <v>590</v>
      </c>
    </row>
    <row r="24" spans="2:38">
      <c r="B24" s="185">
        <v>630</v>
      </c>
      <c r="C24" s="186">
        <v>1027</v>
      </c>
      <c r="D24" s="187">
        <v>1258</v>
      </c>
      <c r="E24" s="187">
        <v>829</v>
      </c>
      <c r="F24" s="187">
        <v>932</v>
      </c>
      <c r="G24" s="187">
        <v>686</v>
      </c>
      <c r="H24" s="187">
        <v>472</v>
      </c>
      <c r="I24" s="187">
        <v>561</v>
      </c>
      <c r="J24" s="187">
        <v>562</v>
      </c>
      <c r="K24" s="188">
        <v>598</v>
      </c>
      <c r="L24" s="189">
        <v>1032</v>
      </c>
      <c r="M24" s="187">
        <v>1225</v>
      </c>
      <c r="N24" s="187">
        <v>836</v>
      </c>
      <c r="O24" s="187">
        <v>920</v>
      </c>
      <c r="P24" s="187">
        <v>698</v>
      </c>
      <c r="Q24" s="187">
        <v>477</v>
      </c>
      <c r="R24" s="187">
        <v>568</v>
      </c>
      <c r="S24" s="187">
        <v>568</v>
      </c>
      <c r="T24" s="190">
        <v>602</v>
      </c>
      <c r="U24" s="191">
        <v>1151</v>
      </c>
      <c r="V24" s="192">
        <v>1408</v>
      </c>
      <c r="W24" s="192">
        <v>924</v>
      </c>
      <c r="X24" s="192">
        <v>1035</v>
      </c>
      <c r="Y24" s="192">
        <v>777</v>
      </c>
      <c r="Z24" s="192">
        <v>515</v>
      </c>
      <c r="AA24" s="192">
        <v>609</v>
      </c>
      <c r="AB24" s="192">
        <v>609</v>
      </c>
      <c r="AC24" s="193">
        <v>650</v>
      </c>
      <c r="AD24" s="194">
        <v>1155</v>
      </c>
      <c r="AE24" s="192">
        <v>1367</v>
      </c>
      <c r="AF24" s="192">
        <v>930</v>
      </c>
      <c r="AG24" s="192">
        <v>1020</v>
      </c>
      <c r="AH24" s="192">
        <v>790</v>
      </c>
      <c r="AI24" s="192">
        <v>521</v>
      </c>
      <c r="AJ24" s="192">
        <v>616</v>
      </c>
      <c r="AK24" s="192">
        <v>616</v>
      </c>
      <c r="AL24" s="193">
        <v>653</v>
      </c>
    </row>
    <row r="25" spans="2:38">
      <c r="B25" s="185">
        <v>800</v>
      </c>
      <c r="C25" s="186">
        <v>1148</v>
      </c>
      <c r="D25" s="187">
        <v>1411</v>
      </c>
      <c r="E25" s="187">
        <v>916</v>
      </c>
      <c r="F25" s="187">
        <v>1031</v>
      </c>
      <c r="G25" s="187">
        <v>761</v>
      </c>
      <c r="H25" s="187">
        <v>517</v>
      </c>
      <c r="I25" s="187">
        <v>623</v>
      </c>
      <c r="J25" s="187">
        <v>617</v>
      </c>
      <c r="K25" s="188">
        <v>655</v>
      </c>
      <c r="L25" s="189">
        <v>1158</v>
      </c>
      <c r="M25" s="187">
        <v>1361</v>
      </c>
      <c r="N25" s="187">
        <v>927</v>
      </c>
      <c r="O25" s="187">
        <v>1013</v>
      </c>
      <c r="P25" s="187">
        <v>780</v>
      </c>
      <c r="Q25" s="187">
        <v>525</v>
      </c>
      <c r="R25" s="187">
        <v>632</v>
      </c>
      <c r="S25" s="187">
        <v>628</v>
      </c>
      <c r="T25" s="190">
        <v>660</v>
      </c>
      <c r="U25" s="191">
        <v>1289</v>
      </c>
      <c r="V25" s="192">
        <v>1580</v>
      </c>
      <c r="W25" s="192">
        <v>1022</v>
      </c>
      <c r="X25" s="192">
        <v>1146</v>
      </c>
      <c r="Y25" s="192">
        <v>863</v>
      </c>
      <c r="Z25" s="192">
        <v>565</v>
      </c>
      <c r="AA25" s="192">
        <v>676</v>
      </c>
      <c r="AB25" s="192">
        <v>671</v>
      </c>
      <c r="AC25" s="193">
        <v>712</v>
      </c>
      <c r="AD25" s="194">
        <v>1297</v>
      </c>
      <c r="AE25" s="192">
        <v>1518</v>
      </c>
      <c r="AF25" s="192">
        <v>1033</v>
      </c>
      <c r="AG25" s="192">
        <v>1124</v>
      </c>
      <c r="AH25" s="192">
        <v>882</v>
      </c>
      <c r="AI25" s="192">
        <v>574</v>
      </c>
      <c r="AJ25" s="192">
        <v>686</v>
      </c>
      <c r="AK25" s="192">
        <v>682</v>
      </c>
      <c r="AL25" s="193">
        <v>718</v>
      </c>
    </row>
    <row r="26" spans="2:38" ht="15.75" thickBot="1">
      <c r="B26" s="195">
        <v>1000</v>
      </c>
      <c r="C26" s="196">
        <v>1265</v>
      </c>
      <c r="D26" s="197">
        <v>1571</v>
      </c>
      <c r="E26" s="197">
        <v>996</v>
      </c>
      <c r="F26" s="197">
        <v>1126</v>
      </c>
      <c r="G26" s="197">
        <v>828</v>
      </c>
      <c r="H26" s="197">
        <v>555</v>
      </c>
      <c r="I26" s="197">
        <v>678</v>
      </c>
      <c r="J26" s="197">
        <v>666</v>
      </c>
      <c r="K26" s="198">
        <v>706</v>
      </c>
      <c r="L26" s="199">
        <v>1275</v>
      </c>
      <c r="M26" s="197">
        <v>1516</v>
      </c>
      <c r="N26" s="197">
        <v>1009</v>
      </c>
      <c r="O26" s="197">
        <v>1108</v>
      </c>
      <c r="P26" s="197">
        <v>849</v>
      </c>
      <c r="Q26" s="197">
        <v>565</v>
      </c>
      <c r="R26" s="197">
        <v>688</v>
      </c>
      <c r="S26" s="197">
        <v>680</v>
      </c>
      <c r="T26" s="200">
        <v>712</v>
      </c>
      <c r="U26" s="201">
        <v>1421</v>
      </c>
      <c r="V26" s="202">
        <v>1762</v>
      </c>
      <c r="W26" s="202">
        <v>1112</v>
      </c>
      <c r="X26" s="202">
        <v>1253</v>
      </c>
      <c r="Y26" s="202">
        <v>940</v>
      </c>
      <c r="Z26" s="202">
        <v>608</v>
      </c>
      <c r="AA26" s="202">
        <v>738</v>
      </c>
      <c r="AB26" s="202">
        <v>725</v>
      </c>
      <c r="AC26" s="203">
        <v>769</v>
      </c>
      <c r="AD26" s="204">
        <v>1430</v>
      </c>
      <c r="AE26" s="202">
        <v>1694</v>
      </c>
      <c r="AF26" s="202">
        <v>1125</v>
      </c>
      <c r="AG26" s="202">
        <v>1231</v>
      </c>
      <c r="AH26" s="202">
        <v>961</v>
      </c>
      <c r="AI26" s="202">
        <v>619</v>
      </c>
      <c r="AJ26" s="202">
        <v>748</v>
      </c>
      <c r="AK26" s="202">
        <v>739</v>
      </c>
      <c r="AL26" s="203">
        <v>775</v>
      </c>
    </row>
    <row r="27" spans="2:38" ht="15.75" thickBot="1"/>
    <row r="28" spans="2:38">
      <c r="B28" s="233" t="s">
        <v>80</v>
      </c>
      <c r="C28" s="18"/>
      <c r="D28" s="18"/>
      <c r="E28" s="18"/>
      <c r="F28" s="18"/>
      <c r="G28" s="18"/>
      <c r="H28" s="18"/>
      <c r="I28" s="18"/>
      <c r="J28" s="19"/>
      <c r="U28" s="233" t="s">
        <v>80</v>
      </c>
      <c r="V28" s="18"/>
      <c r="W28" s="18"/>
      <c r="X28" s="18"/>
      <c r="Y28" s="18"/>
      <c r="Z28" s="18"/>
      <c r="AA28" s="18"/>
      <c r="AB28" s="18"/>
      <c r="AC28" s="18"/>
      <c r="AD28" s="18"/>
      <c r="AE28" s="19"/>
    </row>
    <row r="29" spans="2:38">
      <c r="B29" s="234" t="s">
        <v>14</v>
      </c>
      <c r="C29" s="21"/>
      <c r="D29" s="21"/>
      <c r="E29" s="21"/>
      <c r="F29" s="21"/>
      <c r="G29" s="21"/>
      <c r="H29" s="21"/>
      <c r="I29" s="21"/>
      <c r="J29" s="77"/>
      <c r="U29" s="234" t="s">
        <v>14</v>
      </c>
      <c r="V29" s="21"/>
      <c r="W29" s="21"/>
      <c r="X29" s="21"/>
      <c r="Y29" s="21"/>
      <c r="Z29" s="21"/>
      <c r="AA29" s="21"/>
      <c r="AB29" s="21"/>
      <c r="AC29" s="21"/>
      <c r="AD29" s="21"/>
      <c r="AE29" s="77"/>
    </row>
    <row r="30" spans="2:38">
      <c r="B30" s="234" t="s">
        <v>20</v>
      </c>
      <c r="C30" s="21"/>
      <c r="D30" s="21"/>
      <c r="E30" s="21"/>
      <c r="F30" s="21"/>
      <c r="G30" s="21"/>
      <c r="H30" s="21"/>
      <c r="I30" s="21"/>
      <c r="J30" s="77"/>
      <c r="U30" s="234" t="s">
        <v>23</v>
      </c>
      <c r="V30" s="21"/>
      <c r="W30" s="21"/>
      <c r="X30" s="21"/>
      <c r="Y30" s="21"/>
      <c r="Z30" s="21"/>
      <c r="AA30" s="21"/>
      <c r="AB30" s="21"/>
      <c r="AC30" s="21"/>
      <c r="AD30" s="21"/>
      <c r="AE30" s="77"/>
    </row>
    <row r="31" spans="2:38">
      <c r="B31" s="234" t="s">
        <v>15</v>
      </c>
      <c r="C31" s="21"/>
      <c r="D31" s="21"/>
      <c r="E31" s="21"/>
      <c r="F31" s="21"/>
      <c r="G31" s="21"/>
      <c r="H31" s="21"/>
      <c r="I31" s="21"/>
      <c r="J31" s="77"/>
      <c r="U31" s="234" t="s">
        <v>15</v>
      </c>
      <c r="V31" s="21"/>
      <c r="W31" s="21"/>
      <c r="X31" s="21"/>
      <c r="Y31" s="21"/>
      <c r="Z31" s="21"/>
      <c r="AA31" s="21"/>
      <c r="AB31" s="21"/>
      <c r="AC31" s="21"/>
      <c r="AD31" s="21"/>
      <c r="AE31" s="77"/>
    </row>
    <row r="32" spans="2:38" ht="15.75" thickBot="1">
      <c r="B32" s="235" t="s">
        <v>16</v>
      </c>
      <c r="C32" s="81"/>
      <c r="D32" s="81"/>
      <c r="E32" s="81"/>
      <c r="F32" s="81"/>
      <c r="G32" s="81"/>
      <c r="H32" s="81"/>
      <c r="I32" s="81"/>
      <c r="J32" s="83"/>
      <c r="U32" s="235" t="s">
        <v>16</v>
      </c>
      <c r="V32" s="81"/>
      <c r="W32" s="81"/>
      <c r="X32" s="81"/>
      <c r="Y32" s="81"/>
      <c r="Z32" s="81"/>
      <c r="AA32" s="81"/>
      <c r="AB32" s="81"/>
      <c r="AC32" s="81"/>
      <c r="AD32" s="81"/>
      <c r="AE32" s="83"/>
    </row>
    <row r="33" spans="2:38">
      <c r="B33" s="7"/>
    </row>
    <row r="34" spans="2:38" ht="15.75" thickBot="1">
      <c r="C34" s="7">
        <v>1</v>
      </c>
      <c r="D34" s="17">
        <v>2</v>
      </c>
      <c r="E34" s="7">
        <v>3</v>
      </c>
      <c r="F34" s="17">
        <v>4</v>
      </c>
      <c r="G34" s="7">
        <v>5</v>
      </c>
      <c r="H34" s="17">
        <v>6</v>
      </c>
      <c r="I34" s="7">
        <v>7</v>
      </c>
      <c r="J34" s="17">
        <v>8</v>
      </c>
      <c r="K34" s="7">
        <v>9</v>
      </c>
      <c r="L34" s="7">
        <v>1</v>
      </c>
      <c r="M34" s="17">
        <v>2</v>
      </c>
      <c r="N34" s="7">
        <v>3</v>
      </c>
      <c r="O34" s="17">
        <v>4</v>
      </c>
      <c r="P34" s="7">
        <v>5</v>
      </c>
      <c r="Q34" s="17">
        <v>6</v>
      </c>
      <c r="R34" s="7">
        <v>7</v>
      </c>
      <c r="S34" s="17">
        <v>8</v>
      </c>
      <c r="T34" s="7">
        <v>9</v>
      </c>
      <c r="U34" s="7">
        <v>1</v>
      </c>
      <c r="V34" s="17">
        <v>2</v>
      </c>
      <c r="W34" s="7">
        <v>3</v>
      </c>
      <c r="X34" s="17">
        <v>4</v>
      </c>
      <c r="Y34" s="7">
        <v>5</v>
      </c>
      <c r="Z34" s="17">
        <v>6</v>
      </c>
      <c r="AA34" s="7">
        <v>7</v>
      </c>
      <c r="AB34" s="17">
        <v>8</v>
      </c>
      <c r="AC34" s="7">
        <v>9</v>
      </c>
      <c r="AD34" s="7">
        <v>1</v>
      </c>
      <c r="AE34" s="17">
        <v>2</v>
      </c>
      <c r="AF34" s="7">
        <v>3</v>
      </c>
      <c r="AG34" s="17">
        <v>4</v>
      </c>
      <c r="AH34" s="7">
        <v>5</v>
      </c>
      <c r="AI34" s="17">
        <v>6</v>
      </c>
      <c r="AJ34" s="7">
        <v>7</v>
      </c>
      <c r="AK34" s="17">
        <v>8</v>
      </c>
      <c r="AL34" s="7">
        <v>9</v>
      </c>
    </row>
    <row r="35" spans="2:38" ht="15.75" thickBot="1">
      <c r="C35" s="207" t="s">
        <v>18</v>
      </c>
      <c r="D35" s="208"/>
      <c r="E35" s="208"/>
      <c r="F35" s="208"/>
      <c r="G35" s="208"/>
      <c r="H35" s="208"/>
      <c r="I35" s="208"/>
      <c r="J35" s="208"/>
      <c r="K35" s="209"/>
      <c r="L35" s="207" t="s">
        <v>19</v>
      </c>
      <c r="M35" s="208"/>
      <c r="N35" s="208"/>
      <c r="O35" s="208"/>
      <c r="P35" s="208"/>
      <c r="Q35" s="208"/>
      <c r="R35" s="208"/>
      <c r="S35" s="208"/>
      <c r="T35" s="209"/>
      <c r="U35" s="207" t="s">
        <v>18</v>
      </c>
      <c r="V35" s="208"/>
      <c r="W35" s="208"/>
      <c r="X35" s="208"/>
      <c r="Y35" s="208"/>
      <c r="Z35" s="208"/>
      <c r="AA35" s="208"/>
      <c r="AB35" s="208"/>
      <c r="AC35" s="209"/>
      <c r="AD35" s="207" t="s">
        <v>19</v>
      </c>
      <c r="AE35" s="208"/>
      <c r="AF35" s="208"/>
      <c r="AG35" s="208"/>
      <c r="AH35" s="208"/>
      <c r="AI35" s="208"/>
      <c r="AJ35" s="208"/>
      <c r="AK35" s="208"/>
      <c r="AL35" s="209"/>
    </row>
    <row r="36" spans="2:38" ht="30.75" thickBot="1">
      <c r="B36" s="23" t="s">
        <v>13</v>
      </c>
      <c r="C36" s="210" t="s">
        <v>4</v>
      </c>
      <c r="D36" s="210" t="s">
        <v>5</v>
      </c>
      <c r="E36" s="210" t="s">
        <v>6</v>
      </c>
      <c r="F36" s="210" t="s">
        <v>7</v>
      </c>
      <c r="G36" s="210" t="s">
        <v>8</v>
      </c>
      <c r="H36" s="210" t="s">
        <v>9</v>
      </c>
      <c r="I36" s="210" t="s">
        <v>10</v>
      </c>
      <c r="J36" s="210" t="s">
        <v>11</v>
      </c>
      <c r="K36" s="210" t="s">
        <v>12</v>
      </c>
      <c r="L36" s="211" t="s">
        <v>4</v>
      </c>
      <c r="M36" s="210" t="s">
        <v>5</v>
      </c>
      <c r="N36" s="210" t="s">
        <v>6</v>
      </c>
      <c r="O36" s="210" t="s">
        <v>7</v>
      </c>
      <c r="P36" s="210" t="s">
        <v>8</v>
      </c>
      <c r="Q36" s="210" t="s">
        <v>9</v>
      </c>
      <c r="R36" s="210" t="s">
        <v>10</v>
      </c>
      <c r="S36" s="210" t="s">
        <v>11</v>
      </c>
      <c r="T36" s="210" t="s">
        <v>12</v>
      </c>
      <c r="U36" s="211" t="s">
        <v>4</v>
      </c>
      <c r="V36" s="210" t="s">
        <v>5</v>
      </c>
      <c r="W36" s="210" t="s">
        <v>6</v>
      </c>
      <c r="X36" s="210" t="s">
        <v>7</v>
      </c>
      <c r="Y36" s="210" t="s">
        <v>8</v>
      </c>
      <c r="Z36" s="210" t="s">
        <v>9</v>
      </c>
      <c r="AA36" s="210" t="s">
        <v>10</v>
      </c>
      <c r="AB36" s="210" t="s">
        <v>11</v>
      </c>
      <c r="AC36" s="210" t="s">
        <v>12</v>
      </c>
      <c r="AD36" s="211" t="s">
        <v>4</v>
      </c>
      <c r="AE36" s="210" t="s">
        <v>5</v>
      </c>
      <c r="AF36" s="210" t="s">
        <v>6</v>
      </c>
      <c r="AG36" s="210" t="s">
        <v>7</v>
      </c>
      <c r="AH36" s="210" t="s">
        <v>8</v>
      </c>
      <c r="AI36" s="210" t="s">
        <v>9</v>
      </c>
      <c r="AJ36" s="210" t="s">
        <v>10</v>
      </c>
      <c r="AK36" s="210" t="s">
        <v>11</v>
      </c>
      <c r="AL36" s="210" t="s">
        <v>12</v>
      </c>
    </row>
    <row r="37" spans="2:38" ht="15.75" thickBot="1">
      <c r="B37" s="205">
        <v>10</v>
      </c>
      <c r="C37" s="179">
        <v>67</v>
      </c>
      <c r="D37" s="177">
        <v>81</v>
      </c>
      <c r="E37" s="177">
        <v>61</v>
      </c>
      <c r="F37" s="177">
        <v>71</v>
      </c>
      <c r="G37" s="177">
        <v>51</v>
      </c>
      <c r="H37" s="177">
        <v>42</v>
      </c>
      <c r="I37" s="177">
        <v>49</v>
      </c>
      <c r="J37" s="177">
        <v>50</v>
      </c>
      <c r="K37" s="180">
        <v>60</v>
      </c>
      <c r="L37" s="179">
        <v>0</v>
      </c>
      <c r="M37" s="177">
        <v>0</v>
      </c>
      <c r="N37" s="177">
        <v>0</v>
      </c>
      <c r="O37" s="177">
        <v>0</v>
      </c>
      <c r="P37" s="177">
        <v>0</v>
      </c>
      <c r="Q37" s="177">
        <v>0</v>
      </c>
      <c r="R37" s="177">
        <v>0</v>
      </c>
      <c r="S37" s="177">
        <v>0</v>
      </c>
      <c r="T37" s="178">
        <v>0</v>
      </c>
      <c r="U37" s="176">
        <v>75</v>
      </c>
      <c r="V37" s="177">
        <v>89</v>
      </c>
      <c r="W37" s="177">
        <v>68</v>
      </c>
      <c r="X37" s="177">
        <v>79</v>
      </c>
      <c r="Y37" s="177">
        <v>58</v>
      </c>
      <c r="Z37" s="177">
        <v>51</v>
      </c>
      <c r="AA37" s="177">
        <v>53</v>
      </c>
      <c r="AB37" s="177">
        <v>54</v>
      </c>
      <c r="AC37" s="180">
        <v>64</v>
      </c>
      <c r="AD37" s="179">
        <v>0</v>
      </c>
      <c r="AE37" s="177">
        <v>0</v>
      </c>
      <c r="AF37" s="177">
        <v>0</v>
      </c>
      <c r="AG37" s="177">
        <v>0</v>
      </c>
      <c r="AH37" s="177">
        <v>0</v>
      </c>
      <c r="AI37" s="177">
        <v>0</v>
      </c>
      <c r="AJ37" s="177">
        <v>0</v>
      </c>
      <c r="AK37" s="177">
        <v>0</v>
      </c>
      <c r="AL37" s="178">
        <v>0</v>
      </c>
    </row>
    <row r="38" spans="2:38" ht="15.75" thickBot="1">
      <c r="B38" s="205">
        <v>16</v>
      </c>
      <c r="C38" s="189">
        <v>88</v>
      </c>
      <c r="D38" s="187">
        <v>106</v>
      </c>
      <c r="E38" s="187">
        <v>80</v>
      </c>
      <c r="F38" s="187">
        <v>93</v>
      </c>
      <c r="G38" s="187">
        <v>67</v>
      </c>
      <c r="H38" s="187">
        <v>55</v>
      </c>
      <c r="I38" s="187">
        <v>63</v>
      </c>
      <c r="J38" s="187">
        <v>65</v>
      </c>
      <c r="K38" s="190">
        <v>77</v>
      </c>
      <c r="L38" s="189">
        <v>91</v>
      </c>
      <c r="M38" s="187">
        <v>106</v>
      </c>
      <c r="N38" s="187">
        <v>82</v>
      </c>
      <c r="O38" s="187">
        <v>93</v>
      </c>
      <c r="P38" s="187">
        <v>70</v>
      </c>
      <c r="Q38" s="187">
        <v>56</v>
      </c>
      <c r="R38" s="187">
        <v>64</v>
      </c>
      <c r="S38" s="187">
        <v>65</v>
      </c>
      <c r="T38" s="188">
        <v>76</v>
      </c>
      <c r="U38" s="186">
        <v>98</v>
      </c>
      <c r="V38" s="187">
        <v>118</v>
      </c>
      <c r="W38" s="187">
        <v>89</v>
      </c>
      <c r="X38" s="187">
        <v>103</v>
      </c>
      <c r="Y38" s="187">
        <v>75</v>
      </c>
      <c r="Z38" s="187">
        <v>66</v>
      </c>
      <c r="AA38" s="187">
        <v>68</v>
      </c>
      <c r="AB38" s="187">
        <v>70</v>
      </c>
      <c r="AC38" s="190">
        <v>83</v>
      </c>
      <c r="AD38" s="189">
        <v>101</v>
      </c>
      <c r="AE38" s="187">
        <v>117</v>
      </c>
      <c r="AF38" s="187">
        <v>91</v>
      </c>
      <c r="AG38" s="187">
        <v>102</v>
      </c>
      <c r="AH38" s="187">
        <v>79</v>
      </c>
      <c r="AI38" s="187">
        <v>68</v>
      </c>
      <c r="AJ38" s="187">
        <v>69</v>
      </c>
      <c r="AK38" s="187">
        <v>70</v>
      </c>
      <c r="AL38" s="188">
        <v>82</v>
      </c>
    </row>
    <row r="39" spans="2:38" ht="15.75" thickBot="1">
      <c r="B39" s="205">
        <v>25</v>
      </c>
      <c r="C39" s="189">
        <v>116</v>
      </c>
      <c r="D39" s="187">
        <v>140</v>
      </c>
      <c r="E39" s="187">
        <v>105</v>
      </c>
      <c r="F39" s="187">
        <v>121</v>
      </c>
      <c r="G39" s="187">
        <v>87</v>
      </c>
      <c r="H39" s="187">
        <v>70</v>
      </c>
      <c r="I39" s="187">
        <v>81</v>
      </c>
      <c r="J39" s="187">
        <v>83</v>
      </c>
      <c r="K39" s="190">
        <v>98</v>
      </c>
      <c r="L39" s="189">
        <v>119</v>
      </c>
      <c r="M39" s="187">
        <v>139</v>
      </c>
      <c r="N39" s="187">
        <v>107</v>
      </c>
      <c r="O39" s="187">
        <v>121</v>
      </c>
      <c r="P39" s="187">
        <v>91</v>
      </c>
      <c r="Q39" s="187">
        <v>71</v>
      </c>
      <c r="R39" s="187">
        <v>82</v>
      </c>
      <c r="S39" s="187">
        <v>83</v>
      </c>
      <c r="T39" s="188">
        <v>97</v>
      </c>
      <c r="U39" s="186">
        <v>129</v>
      </c>
      <c r="V39" s="187">
        <v>156</v>
      </c>
      <c r="W39" s="187">
        <v>116</v>
      </c>
      <c r="X39" s="187">
        <v>134</v>
      </c>
      <c r="Y39" s="187">
        <v>98</v>
      </c>
      <c r="Z39" s="187">
        <v>85</v>
      </c>
      <c r="AA39" s="187">
        <v>87</v>
      </c>
      <c r="AB39" s="187">
        <v>89</v>
      </c>
      <c r="AC39" s="190">
        <v>106</v>
      </c>
      <c r="AD39" s="189">
        <v>133</v>
      </c>
      <c r="AE39" s="187">
        <v>154</v>
      </c>
      <c r="AF39" s="187">
        <v>118</v>
      </c>
      <c r="AG39" s="187">
        <v>133</v>
      </c>
      <c r="AH39" s="187">
        <v>102</v>
      </c>
      <c r="AI39" s="187">
        <v>87</v>
      </c>
      <c r="AJ39" s="187">
        <v>89</v>
      </c>
      <c r="AK39" s="187">
        <v>90</v>
      </c>
      <c r="AL39" s="188">
        <v>105</v>
      </c>
    </row>
    <row r="40" spans="2:38" ht="15.75" thickBot="1">
      <c r="B40" s="205">
        <v>35</v>
      </c>
      <c r="C40" s="189">
        <v>142</v>
      </c>
      <c r="D40" s="187">
        <v>172</v>
      </c>
      <c r="E40" s="187">
        <v>127</v>
      </c>
      <c r="F40" s="187">
        <v>147</v>
      </c>
      <c r="G40" s="187">
        <v>105</v>
      </c>
      <c r="H40" s="187">
        <v>83</v>
      </c>
      <c r="I40" s="187">
        <v>96</v>
      </c>
      <c r="J40" s="187">
        <v>99</v>
      </c>
      <c r="K40" s="190">
        <v>117</v>
      </c>
      <c r="L40" s="189">
        <v>144</v>
      </c>
      <c r="M40" s="187">
        <v>169</v>
      </c>
      <c r="N40" s="187">
        <v>129</v>
      </c>
      <c r="O40" s="187">
        <v>145</v>
      </c>
      <c r="P40" s="187">
        <v>108</v>
      </c>
      <c r="Q40" s="187">
        <v>84</v>
      </c>
      <c r="R40" s="187">
        <v>98</v>
      </c>
      <c r="S40" s="187">
        <v>99</v>
      </c>
      <c r="T40" s="188">
        <v>116</v>
      </c>
      <c r="U40" s="186">
        <v>158</v>
      </c>
      <c r="V40" s="187">
        <v>190</v>
      </c>
      <c r="W40" s="187">
        <v>141</v>
      </c>
      <c r="X40" s="187">
        <v>162</v>
      </c>
      <c r="Y40" s="187">
        <v>118</v>
      </c>
      <c r="Z40" s="187">
        <v>102</v>
      </c>
      <c r="AA40" s="187">
        <v>104</v>
      </c>
      <c r="AB40" s="187">
        <v>106</v>
      </c>
      <c r="AC40" s="190">
        <v>126</v>
      </c>
      <c r="AD40" s="189">
        <v>160</v>
      </c>
      <c r="AE40" s="187">
        <v>186</v>
      </c>
      <c r="AF40" s="187">
        <v>143</v>
      </c>
      <c r="AG40" s="187">
        <v>160</v>
      </c>
      <c r="AH40" s="187">
        <v>121</v>
      </c>
      <c r="AI40" s="187">
        <v>103</v>
      </c>
      <c r="AJ40" s="187">
        <v>105</v>
      </c>
      <c r="AK40" s="187">
        <v>107</v>
      </c>
      <c r="AL40" s="188">
        <v>125</v>
      </c>
    </row>
    <row r="41" spans="2:38" ht="15.75" thickBot="1">
      <c r="B41" s="205">
        <v>50</v>
      </c>
      <c r="C41" s="189">
        <v>171</v>
      </c>
      <c r="D41" s="187">
        <v>208</v>
      </c>
      <c r="E41" s="187">
        <v>152</v>
      </c>
      <c r="F41" s="187">
        <v>176</v>
      </c>
      <c r="G41" s="187">
        <v>126</v>
      </c>
      <c r="H41" s="187">
        <v>98</v>
      </c>
      <c r="I41" s="187">
        <v>114</v>
      </c>
      <c r="J41" s="187">
        <v>117</v>
      </c>
      <c r="K41" s="190">
        <v>137</v>
      </c>
      <c r="L41" s="189">
        <v>174</v>
      </c>
      <c r="M41" s="187">
        <v>201</v>
      </c>
      <c r="N41" s="187">
        <v>154</v>
      </c>
      <c r="O41" s="187">
        <v>172</v>
      </c>
      <c r="P41" s="187">
        <v>129</v>
      </c>
      <c r="Q41" s="187">
        <v>100</v>
      </c>
      <c r="R41" s="187">
        <v>115</v>
      </c>
      <c r="S41" s="187">
        <v>117</v>
      </c>
      <c r="T41" s="188">
        <v>137</v>
      </c>
      <c r="U41" s="186">
        <v>191</v>
      </c>
      <c r="V41" s="187">
        <v>231</v>
      </c>
      <c r="W41" s="187">
        <v>169</v>
      </c>
      <c r="X41" s="187">
        <v>194</v>
      </c>
      <c r="Y41" s="187">
        <v>141</v>
      </c>
      <c r="Z41" s="187">
        <v>121</v>
      </c>
      <c r="AA41" s="187">
        <v>123</v>
      </c>
      <c r="AB41" s="187">
        <v>126</v>
      </c>
      <c r="AC41" s="190">
        <v>148</v>
      </c>
      <c r="AD41" s="189">
        <v>194</v>
      </c>
      <c r="AE41" s="187">
        <v>222</v>
      </c>
      <c r="AF41" s="187">
        <v>171</v>
      </c>
      <c r="AG41" s="187">
        <v>189</v>
      </c>
      <c r="AH41" s="187">
        <v>145</v>
      </c>
      <c r="AI41" s="187">
        <v>123</v>
      </c>
      <c r="AJ41" s="187">
        <v>124</v>
      </c>
      <c r="AK41" s="187">
        <v>126</v>
      </c>
      <c r="AL41" s="188">
        <v>147</v>
      </c>
    </row>
    <row r="42" spans="2:38" ht="15.75" thickBot="1">
      <c r="B42" s="205">
        <v>70</v>
      </c>
      <c r="C42" s="189">
        <v>214</v>
      </c>
      <c r="D42" s="187">
        <v>259</v>
      </c>
      <c r="E42" s="187">
        <v>188</v>
      </c>
      <c r="F42" s="187">
        <v>217</v>
      </c>
      <c r="G42" s="187">
        <v>156</v>
      </c>
      <c r="H42" s="187">
        <v>120</v>
      </c>
      <c r="I42" s="187">
        <v>139</v>
      </c>
      <c r="J42" s="187">
        <v>142</v>
      </c>
      <c r="K42" s="190">
        <v>166</v>
      </c>
      <c r="L42" s="189">
        <v>217</v>
      </c>
      <c r="M42" s="187">
        <v>251</v>
      </c>
      <c r="N42" s="187">
        <v>190</v>
      </c>
      <c r="O42" s="187">
        <v>212</v>
      </c>
      <c r="P42" s="187">
        <v>159</v>
      </c>
      <c r="Q42" s="187">
        <v>121</v>
      </c>
      <c r="R42" s="187">
        <v>141</v>
      </c>
      <c r="S42" s="187">
        <v>143</v>
      </c>
      <c r="T42" s="188">
        <v>166</v>
      </c>
      <c r="U42" s="186">
        <v>239</v>
      </c>
      <c r="V42" s="187">
        <v>288</v>
      </c>
      <c r="W42" s="187">
        <v>209</v>
      </c>
      <c r="X42" s="187">
        <v>240</v>
      </c>
      <c r="Y42" s="187">
        <v>175</v>
      </c>
      <c r="Z42" s="187">
        <v>147</v>
      </c>
      <c r="AA42" s="187">
        <v>150</v>
      </c>
      <c r="AB42" s="187">
        <v>153</v>
      </c>
      <c r="AC42" s="190">
        <v>179</v>
      </c>
      <c r="AD42" s="189">
        <v>241</v>
      </c>
      <c r="AE42" s="187">
        <v>278</v>
      </c>
      <c r="AF42" s="187">
        <v>211</v>
      </c>
      <c r="AG42" s="187">
        <v>234</v>
      </c>
      <c r="AH42" s="187">
        <v>179</v>
      </c>
      <c r="AI42" s="187">
        <v>150</v>
      </c>
      <c r="AJ42" s="187">
        <v>152</v>
      </c>
      <c r="AK42" s="187">
        <v>154</v>
      </c>
      <c r="AL42" s="188">
        <v>178</v>
      </c>
    </row>
    <row r="43" spans="2:38" ht="15.75" thickBot="1">
      <c r="B43" s="205">
        <v>95</v>
      </c>
      <c r="C43" s="189">
        <v>262</v>
      </c>
      <c r="D43" s="187">
        <v>317</v>
      </c>
      <c r="E43" s="187">
        <v>228</v>
      </c>
      <c r="F43" s="187">
        <v>262</v>
      </c>
      <c r="G43" s="187">
        <v>188</v>
      </c>
      <c r="H43" s="187">
        <v>143</v>
      </c>
      <c r="I43" s="187">
        <v>166</v>
      </c>
      <c r="J43" s="187">
        <v>169</v>
      </c>
      <c r="K43" s="190">
        <v>197</v>
      </c>
      <c r="L43" s="189">
        <v>264</v>
      </c>
      <c r="M43" s="187">
        <v>306</v>
      </c>
      <c r="N43" s="187">
        <v>230</v>
      </c>
      <c r="O43" s="187">
        <v>256</v>
      </c>
      <c r="P43" s="187">
        <v>192</v>
      </c>
      <c r="Q43" s="187">
        <v>145</v>
      </c>
      <c r="R43" s="187">
        <v>168</v>
      </c>
      <c r="S43" s="187">
        <v>170</v>
      </c>
      <c r="T43" s="188">
        <v>196</v>
      </c>
      <c r="U43" s="186">
        <v>292</v>
      </c>
      <c r="V43" s="187">
        <v>352</v>
      </c>
      <c r="W43" s="187">
        <v>253</v>
      </c>
      <c r="X43" s="187">
        <v>289</v>
      </c>
      <c r="Y43" s="187">
        <v>212</v>
      </c>
      <c r="Z43" s="187">
        <v>177</v>
      </c>
      <c r="AA43" s="187">
        <v>179</v>
      </c>
      <c r="AB43" s="187">
        <v>182</v>
      </c>
      <c r="AC43" s="190">
        <v>212</v>
      </c>
      <c r="AD43" s="189">
        <v>294</v>
      </c>
      <c r="AE43" s="187">
        <v>339</v>
      </c>
      <c r="AF43" s="187">
        <v>255</v>
      </c>
      <c r="AG43" s="187">
        <v>282</v>
      </c>
      <c r="AH43" s="187">
        <v>216</v>
      </c>
      <c r="AI43" s="187">
        <v>179</v>
      </c>
      <c r="AJ43" s="187">
        <v>181</v>
      </c>
      <c r="AK43" s="187">
        <v>183</v>
      </c>
      <c r="AL43" s="188">
        <v>211</v>
      </c>
    </row>
    <row r="44" spans="2:38" ht="15.75" thickBot="1">
      <c r="B44" s="205">
        <v>120</v>
      </c>
      <c r="C44" s="189">
        <v>303</v>
      </c>
      <c r="D44" s="187">
        <v>367</v>
      </c>
      <c r="E44" s="187">
        <v>263</v>
      </c>
      <c r="F44" s="187">
        <v>300</v>
      </c>
      <c r="G44" s="187">
        <v>216</v>
      </c>
      <c r="H44" s="187">
        <v>163</v>
      </c>
      <c r="I44" s="187">
        <v>189</v>
      </c>
      <c r="J44" s="187">
        <v>192</v>
      </c>
      <c r="K44" s="190">
        <v>222</v>
      </c>
      <c r="L44" s="189">
        <v>306</v>
      </c>
      <c r="M44" s="187">
        <v>354</v>
      </c>
      <c r="N44" s="187">
        <v>264</v>
      </c>
      <c r="O44" s="187">
        <v>293</v>
      </c>
      <c r="P44" s="187">
        <v>220</v>
      </c>
      <c r="Q44" s="187">
        <v>164</v>
      </c>
      <c r="R44" s="187">
        <v>191</v>
      </c>
      <c r="S44" s="187">
        <v>193</v>
      </c>
      <c r="T44" s="188">
        <v>221</v>
      </c>
      <c r="U44" s="186">
        <v>338</v>
      </c>
      <c r="V44" s="187">
        <v>408</v>
      </c>
      <c r="W44" s="187">
        <v>291</v>
      </c>
      <c r="X44" s="187">
        <v>331</v>
      </c>
      <c r="Y44" s="187">
        <v>243</v>
      </c>
      <c r="Z44" s="187">
        <v>201</v>
      </c>
      <c r="AA44" s="187">
        <v>203</v>
      </c>
      <c r="AB44" s="187">
        <v>207</v>
      </c>
      <c r="AC44" s="190">
        <v>239</v>
      </c>
      <c r="AD44" s="189">
        <v>340</v>
      </c>
      <c r="AE44" s="187">
        <v>391</v>
      </c>
      <c r="AF44" s="187">
        <v>293</v>
      </c>
      <c r="AG44" s="187">
        <v>323</v>
      </c>
      <c r="AH44" s="187">
        <v>247</v>
      </c>
      <c r="AI44" s="187">
        <v>204</v>
      </c>
      <c r="AJ44" s="187">
        <v>205</v>
      </c>
      <c r="AK44" s="187">
        <v>208</v>
      </c>
      <c r="AL44" s="188">
        <v>239</v>
      </c>
    </row>
    <row r="45" spans="2:38" ht="15.75" thickBot="1">
      <c r="B45" s="205">
        <v>150</v>
      </c>
      <c r="C45" s="189">
        <v>346</v>
      </c>
      <c r="D45" s="187">
        <v>418</v>
      </c>
      <c r="E45" s="187">
        <v>297</v>
      </c>
      <c r="F45" s="187">
        <v>338</v>
      </c>
      <c r="G45" s="187">
        <v>245</v>
      </c>
      <c r="H45" s="187">
        <v>182</v>
      </c>
      <c r="I45" s="187">
        <v>211</v>
      </c>
      <c r="J45" s="187">
        <v>215</v>
      </c>
      <c r="K45" s="190">
        <v>246</v>
      </c>
      <c r="L45" s="189">
        <v>348</v>
      </c>
      <c r="M45" s="187">
        <v>402</v>
      </c>
      <c r="N45" s="187">
        <v>299</v>
      </c>
      <c r="O45" s="187">
        <v>330</v>
      </c>
      <c r="P45" s="187">
        <v>248</v>
      </c>
      <c r="Q45" s="187">
        <v>183</v>
      </c>
      <c r="R45" s="187">
        <v>213</v>
      </c>
      <c r="S45" s="187">
        <v>216</v>
      </c>
      <c r="T45" s="188">
        <v>246</v>
      </c>
      <c r="U45" s="186">
        <v>385</v>
      </c>
      <c r="V45" s="187">
        <v>464</v>
      </c>
      <c r="W45" s="187">
        <v>329</v>
      </c>
      <c r="X45" s="187">
        <v>374</v>
      </c>
      <c r="Y45" s="187">
        <v>275</v>
      </c>
      <c r="Z45" s="187">
        <v>226</v>
      </c>
      <c r="AA45" s="187">
        <v>227</v>
      </c>
      <c r="AB45" s="187">
        <v>231</v>
      </c>
      <c r="AC45" s="190">
        <v>266</v>
      </c>
      <c r="AD45" s="189">
        <v>387</v>
      </c>
      <c r="AE45" s="187">
        <v>445</v>
      </c>
      <c r="AF45" s="187">
        <v>330</v>
      </c>
      <c r="AG45" s="187">
        <v>363</v>
      </c>
      <c r="AH45" s="187">
        <v>279</v>
      </c>
      <c r="AI45" s="187">
        <v>229</v>
      </c>
      <c r="AJ45" s="187">
        <v>230</v>
      </c>
      <c r="AK45" s="187">
        <v>232</v>
      </c>
      <c r="AL45" s="188">
        <v>265</v>
      </c>
    </row>
    <row r="46" spans="2:38" ht="15.75" thickBot="1">
      <c r="B46" s="206">
        <v>185</v>
      </c>
      <c r="C46" s="189">
        <v>398</v>
      </c>
      <c r="D46" s="187">
        <v>480</v>
      </c>
      <c r="E46" s="187">
        <v>339</v>
      </c>
      <c r="F46" s="187">
        <v>385</v>
      </c>
      <c r="G46" s="187">
        <v>279</v>
      </c>
      <c r="H46" s="187">
        <v>205</v>
      </c>
      <c r="I46" s="187">
        <v>239</v>
      </c>
      <c r="J46" s="187">
        <v>243</v>
      </c>
      <c r="K46" s="190">
        <v>276</v>
      </c>
      <c r="L46" s="189">
        <v>400</v>
      </c>
      <c r="M46" s="187">
        <v>465</v>
      </c>
      <c r="N46" s="187">
        <v>341</v>
      </c>
      <c r="O46" s="187">
        <v>377</v>
      </c>
      <c r="P46" s="187">
        <v>283</v>
      </c>
      <c r="Q46" s="187">
        <v>207</v>
      </c>
      <c r="R46" s="187">
        <v>241</v>
      </c>
      <c r="S46" s="187">
        <v>244</v>
      </c>
      <c r="T46" s="188">
        <v>276</v>
      </c>
      <c r="U46" s="186">
        <v>443</v>
      </c>
      <c r="V46" s="187">
        <v>534</v>
      </c>
      <c r="W46" s="187">
        <v>376</v>
      </c>
      <c r="X46" s="187">
        <v>425</v>
      </c>
      <c r="Y46" s="187">
        <v>314</v>
      </c>
      <c r="Z46" s="187">
        <v>256</v>
      </c>
      <c r="AA46" s="187">
        <v>257</v>
      </c>
      <c r="AB46" s="187">
        <v>261</v>
      </c>
      <c r="AC46" s="190">
        <v>298</v>
      </c>
      <c r="AD46" s="189">
        <v>444</v>
      </c>
      <c r="AE46" s="187">
        <v>516</v>
      </c>
      <c r="AF46" s="187">
        <v>377</v>
      </c>
      <c r="AG46" s="187">
        <v>416</v>
      </c>
      <c r="AH46" s="187">
        <v>318</v>
      </c>
      <c r="AI46" s="187">
        <v>259</v>
      </c>
      <c r="AJ46" s="187">
        <v>260</v>
      </c>
      <c r="AK46" s="187">
        <v>262</v>
      </c>
      <c r="AL46" s="188">
        <v>298</v>
      </c>
    </row>
    <row r="47" spans="2:38" ht="15.75" thickBot="1">
      <c r="B47" s="205">
        <v>240</v>
      </c>
      <c r="C47" s="189">
        <v>472</v>
      </c>
      <c r="D47" s="187">
        <v>566</v>
      </c>
      <c r="E47" s="187">
        <v>398</v>
      </c>
      <c r="F47" s="187">
        <v>448</v>
      </c>
      <c r="G47" s="187">
        <v>328</v>
      </c>
      <c r="H47" s="187">
        <v>238</v>
      </c>
      <c r="I47" s="187">
        <v>277</v>
      </c>
      <c r="J47" s="187">
        <v>281</v>
      </c>
      <c r="K47" s="190">
        <v>316</v>
      </c>
      <c r="L47" s="189">
        <v>472</v>
      </c>
      <c r="M47" s="187">
        <v>550</v>
      </c>
      <c r="N47" s="187">
        <v>399</v>
      </c>
      <c r="O47" s="187">
        <v>440</v>
      </c>
      <c r="P47" s="187">
        <v>333</v>
      </c>
      <c r="Q47" s="187">
        <v>239</v>
      </c>
      <c r="R47" s="187">
        <v>280</v>
      </c>
      <c r="S47" s="187">
        <v>282</v>
      </c>
      <c r="T47" s="188">
        <v>316</v>
      </c>
      <c r="U47" s="186">
        <v>525</v>
      </c>
      <c r="V47" s="187">
        <v>629</v>
      </c>
      <c r="W47" s="187">
        <v>441</v>
      </c>
      <c r="X47" s="187">
        <v>495</v>
      </c>
      <c r="Y47" s="187">
        <v>370</v>
      </c>
      <c r="Z47" s="187">
        <v>298</v>
      </c>
      <c r="AA47" s="187">
        <v>298</v>
      </c>
      <c r="AB47" s="187">
        <v>303</v>
      </c>
      <c r="AC47" s="190">
        <v>341</v>
      </c>
      <c r="AD47" s="189">
        <v>524</v>
      </c>
      <c r="AE47" s="187">
        <v>610</v>
      </c>
      <c r="AF47" s="187">
        <v>441</v>
      </c>
      <c r="AG47" s="187">
        <v>485</v>
      </c>
      <c r="AH47" s="187">
        <v>374</v>
      </c>
      <c r="AI47" s="187">
        <v>302</v>
      </c>
      <c r="AJ47" s="187">
        <v>302</v>
      </c>
      <c r="AK47" s="187">
        <v>304</v>
      </c>
      <c r="AL47" s="188">
        <v>341</v>
      </c>
    </row>
    <row r="48" spans="2:38" ht="15.75" thickBot="1">
      <c r="B48" s="205">
        <v>300</v>
      </c>
      <c r="C48" s="189">
        <v>541</v>
      </c>
      <c r="D48" s="187">
        <v>649</v>
      </c>
      <c r="E48" s="187">
        <v>453</v>
      </c>
      <c r="F48" s="187">
        <v>508</v>
      </c>
      <c r="G48" s="187">
        <v>373</v>
      </c>
      <c r="H48" s="187">
        <v>267</v>
      </c>
      <c r="I48" s="187">
        <v>312</v>
      </c>
      <c r="J48" s="187">
        <v>316</v>
      </c>
      <c r="K48" s="190">
        <v>352</v>
      </c>
      <c r="L48" s="189">
        <v>541</v>
      </c>
      <c r="M48" s="187">
        <v>630</v>
      </c>
      <c r="N48" s="187">
        <v>454</v>
      </c>
      <c r="O48" s="187">
        <v>498</v>
      </c>
      <c r="P48" s="187">
        <v>378</v>
      </c>
      <c r="Q48" s="187">
        <v>269</v>
      </c>
      <c r="R48" s="187">
        <v>315</v>
      </c>
      <c r="S48" s="187">
        <v>317</v>
      </c>
      <c r="T48" s="188">
        <v>352</v>
      </c>
      <c r="U48" s="186">
        <v>603</v>
      </c>
      <c r="V48" s="187">
        <v>722</v>
      </c>
      <c r="W48" s="187">
        <v>502</v>
      </c>
      <c r="X48" s="187">
        <v>561</v>
      </c>
      <c r="Y48" s="187">
        <v>421</v>
      </c>
      <c r="Z48" s="187">
        <v>337</v>
      </c>
      <c r="AA48" s="187">
        <v>336</v>
      </c>
      <c r="AB48" s="187">
        <v>341</v>
      </c>
      <c r="AC48" s="190">
        <v>381</v>
      </c>
      <c r="AD48" s="189">
        <v>601</v>
      </c>
      <c r="AE48" s="187">
        <v>699</v>
      </c>
      <c r="AF48" s="187">
        <v>501</v>
      </c>
      <c r="AG48" s="187">
        <v>550</v>
      </c>
      <c r="AH48" s="187">
        <v>425</v>
      </c>
      <c r="AI48" s="187">
        <v>340</v>
      </c>
      <c r="AJ48" s="187">
        <v>340</v>
      </c>
      <c r="AK48" s="187">
        <v>342</v>
      </c>
      <c r="AL48" s="188">
        <v>381</v>
      </c>
    </row>
    <row r="49" spans="1:38" ht="15.75" thickBot="1">
      <c r="B49" s="205">
        <v>400</v>
      </c>
      <c r="C49" s="189">
        <v>635</v>
      </c>
      <c r="D49" s="187">
        <v>763</v>
      </c>
      <c r="E49" s="187">
        <v>525</v>
      </c>
      <c r="F49" s="187">
        <v>586</v>
      </c>
      <c r="G49" s="187">
        <v>433</v>
      </c>
      <c r="H49" s="187">
        <v>305</v>
      </c>
      <c r="I49" s="187">
        <v>357</v>
      </c>
      <c r="J49" s="187">
        <v>361</v>
      </c>
      <c r="K49" s="190">
        <v>398</v>
      </c>
      <c r="L49" s="189">
        <v>634</v>
      </c>
      <c r="M49" s="187">
        <v>740</v>
      </c>
      <c r="N49" s="187">
        <v>525</v>
      </c>
      <c r="O49" s="187">
        <v>575</v>
      </c>
      <c r="P49" s="187">
        <v>437</v>
      </c>
      <c r="Q49" s="187">
        <v>306</v>
      </c>
      <c r="R49" s="187">
        <v>361</v>
      </c>
      <c r="S49" s="187">
        <v>363</v>
      </c>
      <c r="T49" s="188">
        <v>399</v>
      </c>
      <c r="U49" s="186">
        <v>708</v>
      </c>
      <c r="V49" s="187">
        <v>850</v>
      </c>
      <c r="W49" s="187">
        <v>582</v>
      </c>
      <c r="X49" s="187">
        <v>648</v>
      </c>
      <c r="Y49" s="187">
        <v>488</v>
      </c>
      <c r="Z49" s="187">
        <v>387</v>
      </c>
      <c r="AA49" s="187">
        <v>386</v>
      </c>
      <c r="AB49" s="187">
        <v>389</v>
      </c>
      <c r="AC49" s="190">
        <v>430</v>
      </c>
      <c r="AD49" s="189">
        <v>705</v>
      </c>
      <c r="AE49" s="187">
        <v>822</v>
      </c>
      <c r="AF49" s="187">
        <v>581</v>
      </c>
      <c r="AG49" s="187">
        <v>635</v>
      </c>
      <c r="AH49" s="187">
        <v>493</v>
      </c>
      <c r="AI49" s="187">
        <v>390</v>
      </c>
      <c r="AJ49" s="187">
        <v>389</v>
      </c>
      <c r="AK49" s="187">
        <v>391</v>
      </c>
      <c r="AL49" s="188">
        <v>431</v>
      </c>
    </row>
    <row r="50" spans="1:38" ht="15.75" thickBot="1">
      <c r="B50" s="205">
        <v>500</v>
      </c>
      <c r="C50" s="189">
        <v>735</v>
      </c>
      <c r="D50" s="187">
        <v>885</v>
      </c>
      <c r="E50" s="187">
        <v>601</v>
      </c>
      <c r="F50" s="187">
        <v>669</v>
      </c>
      <c r="G50" s="187">
        <v>496</v>
      </c>
      <c r="H50" s="187">
        <v>345</v>
      </c>
      <c r="I50" s="187">
        <v>406</v>
      </c>
      <c r="J50" s="187">
        <v>409</v>
      </c>
      <c r="K50" s="190">
        <v>447</v>
      </c>
      <c r="L50" s="189">
        <v>733</v>
      </c>
      <c r="M50" s="187">
        <v>858</v>
      </c>
      <c r="N50" s="187">
        <v>601</v>
      </c>
      <c r="O50" s="187">
        <v>657</v>
      </c>
      <c r="P50" s="187">
        <v>501</v>
      </c>
      <c r="Q50" s="187">
        <v>347</v>
      </c>
      <c r="R50" s="187">
        <v>410</v>
      </c>
      <c r="S50" s="187">
        <v>412</v>
      </c>
      <c r="T50" s="188">
        <v>448</v>
      </c>
      <c r="U50" s="186">
        <v>820</v>
      </c>
      <c r="V50" s="187">
        <v>986</v>
      </c>
      <c r="W50" s="187">
        <v>666</v>
      </c>
      <c r="X50" s="187">
        <v>740</v>
      </c>
      <c r="Y50" s="187">
        <v>560</v>
      </c>
      <c r="Z50" s="187">
        <v>440</v>
      </c>
      <c r="AA50" s="187">
        <v>439</v>
      </c>
      <c r="AB50" s="187">
        <v>442</v>
      </c>
      <c r="AC50" s="190">
        <v>483</v>
      </c>
      <c r="AD50" s="189">
        <v>815</v>
      </c>
      <c r="AE50" s="187">
        <v>953</v>
      </c>
      <c r="AF50" s="187">
        <v>665</v>
      </c>
      <c r="AG50" s="187">
        <v>726</v>
      </c>
      <c r="AH50" s="187">
        <v>565</v>
      </c>
      <c r="AI50" s="187">
        <v>444</v>
      </c>
      <c r="AJ50" s="187">
        <v>443</v>
      </c>
      <c r="AK50" s="187">
        <v>444</v>
      </c>
      <c r="AL50" s="188">
        <v>484</v>
      </c>
    </row>
    <row r="51" spans="1:38" ht="15.75" thickBot="1">
      <c r="B51" s="205">
        <v>630</v>
      </c>
      <c r="C51" s="189">
        <v>848</v>
      </c>
      <c r="D51" s="187">
        <v>1026</v>
      </c>
      <c r="E51" s="187">
        <v>685</v>
      </c>
      <c r="F51" s="187">
        <v>763</v>
      </c>
      <c r="G51" s="187">
        <v>566</v>
      </c>
      <c r="H51" s="187">
        <v>388</v>
      </c>
      <c r="I51" s="187">
        <v>461</v>
      </c>
      <c r="J51" s="187">
        <v>462</v>
      </c>
      <c r="K51" s="190">
        <v>501</v>
      </c>
      <c r="L51" s="189">
        <v>845</v>
      </c>
      <c r="M51" s="187">
        <v>994</v>
      </c>
      <c r="N51" s="187">
        <v>686</v>
      </c>
      <c r="O51" s="187">
        <v>750</v>
      </c>
      <c r="P51" s="187">
        <v>572</v>
      </c>
      <c r="Q51" s="187">
        <v>391</v>
      </c>
      <c r="R51" s="187">
        <v>465</v>
      </c>
      <c r="S51" s="187">
        <v>465</v>
      </c>
      <c r="T51" s="188">
        <v>502</v>
      </c>
      <c r="U51" s="186">
        <v>947</v>
      </c>
      <c r="V51" s="187">
        <v>1145</v>
      </c>
      <c r="W51" s="187">
        <v>760</v>
      </c>
      <c r="X51" s="187">
        <v>844</v>
      </c>
      <c r="Y51" s="187">
        <v>639</v>
      </c>
      <c r="Z51" s="187">
        <v>499</v>
      </c>
      <c r="AA51" s="187">
        <v>498</v>
      </c>
      <c r="AB51" s="187">
        <v>499</v>
      </c>
      <c r="AC51" s="190">
        <v>542</v>
      </c>
      <c r="AD51" s="189">
        <v>941</v>
      </c>
      <c r="AE51" s="187">
        <v>1106</v>
      </c>
      <c r="AF51" s="187">
        <v>760</v>
      </c>
      <c r="AG51" s="187">
        <v>829</v>
      </c>
      <c r="AH51" s="187">
        <v>646</v>
      </c>
      <c r="AI51" s="187">
        <v>504</v>
      </c>
      <c r="AJ51" s="187">
        <v>503</v>
      </c>
      <c r="AK51" s="187">
        <v>503</v>
      </c>
      <c r="AL51" s="188">
        <v>543</v>
      </c>
    </row>
    <row r="52" spans="1:38" ht="15.75" thickBot="1">
      <c r="B52" s="205">
        <v>800</v>
      </c>
      <c r="C52" s="189">
        <v>965</v>
      </c>
      <c r="D52" s="187">
        <v>1167</v>
      </c>
      <c r="E52" s="187">
        <v>770</v>
      </c>
      <c r="F52" s="187">
        <v>856</v>
      </c>
      <c r="G52" s="187">
        <v>640</v>
      </c>
      <c r="H52" s="187">
        <v>432</v>
      </c>
      <c r="I52" s="187">
        <v>519</v>
      </c>
      <c r="J52" s="187">
        <v>517</v>
      </c>
      <c r="K52" s="190">
        <v>556</v>
      </c>
      <c r="L52" s="189">
        <v>961</v>
      </c>
      <c r="M52" s="187">
        <v>1119</v>
      </c>
      <c r="N52" s="187">
        <v>774</v>
      </c>
      <c r="O52" s="187">
        <v>837</v>
      </c>
      <c r="P52" s="187">
        <v>649</v>
      </c>
      <c r="Q52" s="187">
        <v>437</v>
      </c>
      <c r="R52" s="187">
        <v>526</v>
      </c>
      <c r="S52" s="187">
        <v>522</v>
      </c>
      <c r="T52" s="188">
        <v>559</v>
      </c>
      <c r="U52" s="186">
        <v>1079</v>
      </c>
      <c r="V52" s="187">
        <v>1302</v>
      </c>
      <c r="W52" s="187">
        <v>856</v>
      </c>
      <c r="X52" s="187">
        <v>948</v>
      </c>
      <c r="Y52" s="187">
        <v>723</v>
      </c>
      <c r="Z52" s="187">
        <v>560</v>
      </c>
      <c r="AA52" s="187">
        <v>562</v>
      </c>
      <c r="AB52" s="187">
        <v>559</v>
      </c>
      <c r="AC52" s="190">
        <v>603</v>
      </c>
      <c r="AD52" s="189">
        <v>1070</v>
      </c>
      <c r="AE52" s="187">
        <v>1244</v>
      </c>
      <c r="AF52" s="187">
        <v>857</v>
      </c>
      <c r="AG52" s="187">
        <v>926</v>
      </c>
      <c r="AH52" s="187">
        <v>733</v>
      </c>
      <c r="AI52" s="187">
        <v>568</v>
      </c>
      <c r="AJ52" s="187">
        <v>569</v>
      </c>
      <c r="AK52" s="187">
        <v>565</v>
      </c>
      <c r="AL52" s="188">
        <v>606</v>
      </c>
    </row>
    <row r="53" spans="1:38" ht="15.75" thickBot="1">
      <c r="B53" s="205">
        <v>1000</v>
      </c>
      <c r="C53" s="199">
        <v>1083</v>
      </c>
      <c r="D53" s="197">
        <v>1324</v>
      </c>
      <c r="E53" s="197">
        <v>853</v>
      </c>
      <c r="F53" s="197">
        <v>953</v>
      </c>
      <c r="G53" s="197">
        <v>709</v>
      </c>
      <c r="H53" s="197">
        <v>473</v>
      </c>
      <c r="I53" s="197">
        <v>576</v>
      </c>
      <c r="J53" s="197">
        <v>568</v>
      </c>
      <c r="K53" s="200">
        <v>610</v>
      </c>
      <c r="L53" s="199">
        <v>1081</v>
      </c>
      <c r="M53" s="197">
        <v>1270</v>
      </c>
      <c r="N53" s="197">
        <v>858</v>
      </c>
      <c r="O53" s="197">
        <v>934</v>
      </c>
      <c r="P53" s="197">
        <v>722</v>
      </c>
      <c r="Q53" s="197">
        <v>479</v>
      </c>
      <c r="R53" s="197">
        <v>584</v>
      </c>
      <c r="S53" s="197">
        <v>576</v>
      </c>
      <c r="T53" s="198">
        <v>614</v>
      </c>
      <c r="U53" s="196">
        <v>1213</v>
      </c>
      <c r="V53" s="197">
        <v>1480</v>
      </c>
      <c r="W53" s="197">
        <v>950</v>
      </c>
      <c r="X53" s="197">
        <v>1057</v>
      </c>
      <c r="Y53" s="197">
        <v>803</v>
      </c>
      <c r="Z53" s="197">
        <v>618</v>
      </c>
      <c r="AA53" s="197">
        <v>624</v>
      </c>
      <c r="AB53" s="197">
        <v>616</v>
      </c>
      <c r="AC53" s="200">
        <v>663</v>
      </c>
      <c r="AD53" s="199">
        <v>1205</v>
      </c>
      <c r="AE53" s="197">
        <v>1414</v>
      </c>
      <c r="AF53" s="197">
        <v>953</v>
      </c>
      <c r="AG53" s="197">
        <v>1034</v>
      </c>
      <c r="AH53" s="197">
        <v>815</v>
      </c>
      <c r="AI53" s="197">
        <v>628</v>
      </c>
      <c r="AJ53" s="197">
        <v>632</v>
      </c>
      <c r="AK53" s="197">
        <v>624</v>
      </c>
      <c r="AL53" s="198">
        <v>666</v>
      </c>
    </row>
    <row r="54" spans="1:38">
      <c r="L54" s="20"/>
    </row>
    <row r="55" spans="1:38">
      <c r="A55" s="17" t="s">
        <v>85</v>
      </c>
      <c r="L55" s="20"/>
    </row>
    <row r="56" spans="1:38" ht="15.75" thickBot="1">
      <c r="L56" s="20"/>
    </row>
    <row r="57" spans="1:38">
      <c r="B57" s="60" t="s">
        <v>1</v>
      </c>
      <c r="C57" s="112" t="s">
        <v>110</v>
      </c>
      <c r="D57" s="112" t="s">
        <v>123</v>
      </c>
      <c r="E57" s="61" t="s">
        <v>124</v>
      </c>
      <c r="F57" s="224" t="s">
        <v>89</v>
      </c>
      <c r="G57" s="19"/>
      <c r="H57" s="1"/>
      <c r="I57" s="1"/>
      <c r="J57" s="1"/>
      <c r="K57" s="3"/>
      <c r="L57" s="3"/>
      <c r="M57" s="1"/>
    </row>
    <row r="58" spans="1:38">
      <c r="B58" s="63">
        <v>1</v>
      </c>
      <c r="C58" s="225" t="s">
        <v>111</v>
      </c>
      <c r="D58" s="225">
        <v>90</v>
      </c>
      <c r="E58" s="226" t="s">
        <v>92</v>
      </c>
      <c r="F58" s="227" t="s">
        <v>125</v>
      </c>
      <c r="G58" s="236"/>
      <c r="H58" s="10"/>
      <c r="I58" s="1"/>
      <c r="J58" s="1"/>
      <c r="K58" s="3"/>
      <c r="L58" s="9"/>
      <c r="M58" s="10"/>
    </row>
    <row r="59" spans="1:38">
      <c r="B59" s="63">
        <v>2</v>
      </c>
      <c r="C59" s="225" t="s">
        <v>111</v>
      </c>
      <c r="D59" s="225">
        <v>90</v>
      </c>
      <c r="E59" s="226" t="s">
        <v>92</v>
      </c>
      <c r="F59" s="227" t="s">
        <v>126</v>
      </c>
      <c r="G59" s="236"/>
      <c r="H59" s="10"/>
      <c r="I59" s="1"/>
      <c r="J59" s="1"/>
      <c r="K59" s="3"/>
      <c r="L59" s="9"/>
      <c r="M59" s="10"/>
    </row>
    <row r="60" spans="1:38">
      <c r="B60" s="63">
        <v>3</v>
      </c>
      <c r="C60" s="225" t="s">
        <v>111</v>
      </c>
      <c r="D60" s="225">
        <v>105</v>
      </c>
      <c r="E60" s="226" t="s">
        <v>25</v>
      </c>
      <c r="F60" s="227" t="s">
        <v>125</v>
      </c>
      <c r="G60" s="236"/>
      <c r="H60" s="10"/>
      <c r="I60" s="1"/>
      <c r="J60" s="1"/>
      <c r="K60" s="3"/>
      <c r="L60" s="9"/>
      <c r="M60" s="10"/>
    </row>
    <row r="61" spans="1:38" ht="15.75" thickBot="1">
      <c r="B61" s="6">
        <v>4</v>
      </c>
      <c r="C61" s="228" t="s">
        <v>111</v>
      </c>
      <c r="D61" s="228">
        <v>105</v>
      </c>
      <c r="E61" s="229" t="s">
        <v>25</v>
      </c>
      <c r="F61" s="230" t="s">
        <v>126</v>
      </c>
      <c r="G61" s="237"/>
      <c r="H61" s="10"/>
      <c r="I61" s="1"/>
      <c r="J61" s="1"/>
      <c r="K61" s="3"/>
      <c r="L61" s="9"/>
      <c r="M61" s="10"/>
    </row>
    <row r="62" spans="1:38" ht="15.75" thickBot="1">
      <c r="E62" s="9"/>
      <c r="F62" s="10"/>
      <c r="L62" s="20"/>
    </row>
    <row r="63" spans="1:38">
      <c r="B63" s="70" t="s">
        <v>1</v>
      </c>
      <c r="C63" s="223" t="s">
        <v>93</v>
      </c>
      <c r="D63" s="71" t="s">
        <v>2</v>
      </c>
      <c r="E63" s="18"/>
      <c r="F63" s="72"/>
      <c r="G63" s="18"/>
      <c r="H63" s="18"/>
      <c r="I63" s="18"/>
      <c r="J63" s="18"/>
      <c r="K63" s="18"/>
      <c r="L63" s="73"/>
      <c r="M63" s="18"/>
      <c r="N63" s="18"/>
      <c r="O63" s="18"/>
      <c r="P63" s="19"/>
    </row>
    <row r="64" spans="1:38">
      <c r="B64" s="74">
        <v>1</v>
      </c>
      <c r="C64" s="221" t="s">
        <v>3</v>
      </c>
      <c r="D64" s="5" t="s">
        <v>101</v>
      </c>
      <c r="E64" s="21"/>
      <c r="F64" s="65"/>
      <c r="G64" s="21"/>
      <c r="H64" s="21"/>
      <c r="I64" s="21"/>
      <c r="J64" s="21"/>
      <c r="K64" s="21"/>
      <c r="L64" s="76"/>
      <c r="M64" s="21"/>
      <c r="N64" s="21"/>
      <c r="O64" s="21"/>
      <c r="P64" s="77"/>
    </row>
    <row r="65" spans="2:16">
      <c r="B65" s="74">
        <v>2</v>
      </c>
      <c r="C65" s="221" t="s">
        <v>94</v>
      </c>
      <c r="D65" s="5" t="s">
        <v>102</v>
      </c>
      <c r="E65" s="21"/>
      <c r="F65" s="59"/>
      <c r="G65" s="21"/>
      <c r="H65" s="21"/>
      <c r="I65" s="21"/>
      <c r="J65" s="21"/>
      <c r="K65" s="21"/>
      <c r="L65" s="76"/>
      <c r="M65" s="21"/>
      <c r="N65" s="21"/>
      <c r="O65" s="21"/>
      <c r="P65" s="77"/>
    </row>
    <row r="66" spans="2:16">
      <c r="B66" s="74">
        <v>3</v>
      </c>
      <c r="C66" s="221" t="s">
        <v>95</v>
      </c>
      <c r="D66" s="5" t="s">
        <v>103</v>
      </c>
      <c r="E66" s="21"/>
      <c r="F66" s="21"/>
      <c r="G66" s="21"/>
      <c r="H66" s="21"/>
      <c r="I66" s="21"/>
      <c r="J66" s="21"/>
      <c r="K66" s="21"/>
      <c r="L66" s="76"/>
      <c r="M66" s="21"/>
      <c r="N66" s="21"/>
      <c r="O66" s="21"/>
      <c r="P66" s="77"/>
    </row>
    <row r="67" spans="2:16">
      <c r="B67" s="74">
        <v>4</v>
      </c>
      <c r="C67" s="221" t="s">
        <v>96</v>
      </c>
      <c r="D67" s="5" t="s">
        <v>104</v>
      </c>
      <c r="E67" s="21"/>
      <c r="F67" s="21"/>
      <c r="G67" s="21"/>
      <c r="H67" s="21"/>
      <c r="I67" s="21"/>
      <c r="J67" s="21"/>
      <c r="K67" s="21"/>
      <c r="L67" s="76"/>
      <c r="M67" s="21"/>
      <c r="N67" s="21"/>
      <c r="O67" s="21"/>
      <c r="P67" s="77"/>
    </row>
    <row r="68" spans="2:16">
      <c r="B68" s="74">
        <v>5</v>
      </c>
      <c r="C68" s="221" t="s">
        <v>97</v>
      </c>
      <c r="D68" s="5" t="s">
        <v>105</v>
      </c>
      <c r="E68" s="21"/>
      <c r="F68" s="21"/>
      <c r="G68" s="21"/>
      <c r="H68" s="21"/>
      <c r="I68" s="21"/>
      <c r="J68" s="21"/>
      <c r="K68" s="21"/>
      <c r="L68" s="76"/>
      <c r="M68" s="21"/>
      <c r="N68" s="21"/>
      <c r="O68" s="21"/>
      <c r="P68" s="77"/>
    </row>
    <row r="69" spans="2:16">
      <c r="B69" s="74">
        <v>6</v>
      </c>
      <c r="C69" s="221" t="s">
        <v>98</v>
      </c>
      <c r="D69" s="5" t="s">
        <v>106</v>
      </c>
      <c r="E69" s="21"/>
      <c r="F69" s="21"/>
      <c r="G69" s="21"/>
      <c r="H69" s="21"/>
      <c r="I69" s="21"/>
      <c r="J69" s="21"/>
      <c r="K69" s="21"/>
      <c r="L69" s="76"/>
      <c r="M69" s="21"/>
      <c r="N69" s="21"/>
      <c r="O69" s="21"/>
      <c r="P69" s="77"/>
    </row>
    <row r="70" spans="2:16">
      <c r="B70" s="74">
        <v>7</v>
      </c>
      <c r="C70" s="221" t="s">
        <v>99</v>
      </c>
      <c r="D70" s="5" t="s">
        <v>107</v>
      </c>
      <c r="E70" s="21"/>
      <c r="F70" s="21"/>
      <c r="G70" s="21"/>
      <c r="H70" s="21"/>
      <c r="I70" s="21"/>
      <c r="J70" s="21"/>
      <c r="K70" s="21"/>
      <c r="L70" s="76"/>
      <c r="M70" s="21"/>
      <c r="N70" s="21"/>
      <c r="O70" s="21"/>
      <c r="P70" s="77"/>
    </row>
    <row r="71" spans="2:16">
      <c r="B71" s="74">
        <v>8</v>
      </c>
      <c r="C71" s="221" t="s">
        <v>100</v>
      </c>
      <c r="D71" s="5" t="s">
        <v>108</v>
      </c>
      <c r="E71" s="21"/>
      <c r="F71" s="21"/>
      <c r="G71" s="21"/>
      <c r="H71" s="21"/>
      <c r="I71" s="21"/>
      <c r="J71" s="21"/>
      <c r="K71" s="21"/>
      <c r="L71" s="76"/>
      <c r="M71" s="21"/>
      <c r="N71" s="21"/>
      <c r="O71" s="21"/>
      <c r="P71" s="77"/>
    </row>
    <row r="72" spans="2:16" ht="15.75" thickBot="1">
      <c r="B72" s="78">
        <v>9</v>
      </c>
      <c r="C72" s="222" t="s">
        <v>0</v>
      </c>
      <c r="D72" s="80" t="s">
        <v>109</v>
      </c>
      <c r="E72" s="81"/>
      <c r="F72" s="81"/>
      <c r="G72" s="81"/>
      <c r="H72" s="81"/>
      <c r="I72" s="81"/>
      <c r="J72" s="81"/>
      <c r="K72" s="81"/>
      <c r="L72" s="82"/>
      <c r="M72" s="81"/>
      <c r="N72" s="81"/>
      <c r="O72" s="81"/>
      <c r="P72" s="83"/>
    </row>
    <row r="73" spans="2:16" ht="15.75" thickBot="1">
      <c r="B73" s="24"/>
      <c r="L73" s="20"/>
    </row>
    <row r="74" spans="2:16">
      <c r="B74" s="107" t="s">
        <v>1</v>
      </c>
      <c r="C74" s="85" t="s">
        <v>120</v>
      </c>
      <c r="L74" s="20"/>
    </row>
    <row r="75" spans="2:16">
      <c r="B75" s="108">
        <v>1</v>
      </c>
      <c r="C75" s="109">
        <v>10</v>
      </c>
      <c r="L75" s="20"/>
    </row>
    <row r="76" spans="2:16">
      <c r="B76" s="108">
        <v>2</v>
      </c>
      <c r="C76" s="109">
        <v>16</v>
      </c>
      <c r="L76" s="20"/>
    </row>
    <row r="77" spans="2:16">
      <c r="B77" s="108">
        <v>3</v>
      </c>
      <c r="C77" s="109">
        <v>25</v>
      </c>
      <c r="L77" s="20"/>
    </row>
    <row r="78" spans="2:16">
      <c r="B78" s="108">
        <v>4</v>
      </c>
      <c r="C78" s="109">
        <v>35</v>
      </c>
      <c r="L78" s="20"/>
    </row>
    <row r="79" spans="2:16">
      <c r="B79" s="108">
        <v>5</v>
      </c>
      <c r="C79" s="109">
        <v>50</v>
      </c>
      <c r="L79" s="20"/>
    </row>
    <row r="80" spans="2:16">
      <c r="B80" s="108">
        <v>6</v>
      </c>
      <c r="C80" s="109">
        <v>70</v>
      </c>
      <c r="L80" s="20"/>
    </row>
    <row r="81" spans="2:12">
      <c r="B81" s="108">
        <v>7</v>
      </c>
      <c r="C81" s="109">
        <v>95</v>
      </c>
      <c r="L81" s="20"/>
    </row>
    <row r="82" spans="2:12">
      <c r="B82" s="108">
        <v>8</v>
      </c>
      <c r="C82" s="109">
        <v>120</v>
      </c>
      <c r="L82" s="20"/>
    </row>
    <row r="83" spans="2:12">
      <c r="B83" s="108">
        <v>9</v>
      </c>
      <c r="C83" s="109">
        <v>150</v>
      </c>
      <c r="L83" s="20"/>
    </row>
    <row r="84" spans="2:12">
      <c r="B84" s="108">
        <v>10</v>
      </c>
      <c r="C84" s="109">
        <v>185</v>
      </c>
      <c r="L84" s="20"/>
    </row>
    <row r="85" spans="2:12">
      <c r="B85" s="108">
        <v>11</v>
      </c>
      <c r="C85" s="109">
        <v>240</v>
      </c>
      <c r="L85" s="20"/>
    </row>
    <row r="86" spans="2:12">
      <c r="B86" s="108">
        <v>12</v>
      </c>
      <c r="C86" s="109">
        <v>300</v>
      </c>
      <c r="L86" s="20"/>
    </row>
    <row r="87" spans="2:12">
      <c r="B87" s="108">
        <v>13</v>
      </c>
      <c r="C87" s="109">
        <v>400</v>
      </c>
      <c r="L87" s="20"/>
    </row>
    <row r="88" spans="2:12">
      <c r="B88" s="108">
        <v>14</v>
      </c>
      <c r="C88" s="109">
        <v>500</v>
      </c>
      <c r="L88" s="20"/>
    </row>
    <row r="89" spans="2:12">
      <c r="B89" s="108">
        <v>15</v>
      </c>
      <c r="C89" s="109">
        <v>630</v>
      </c>
      <c r="L89" s="20"/>
    </row>
    <row r="90" spans="2:12">
      <c r="B90" s="108">
        <v>16</v>
      </c>
      <c r="C90" s="109">
        <v>800</v>
      </c>
      <c r="L90" s="20"/>
    </row>
    <row r="91" spans="2:12" ht="15.75" thickBot="1">
      <c r="B91" s="110">
        <v>17</v>
      </c>
      <c r="C91" s="111">
        <v>1000</v>
      </c>
      <c r="L91" s="20"/>
    </row>
    <row r="92" spans="2:12">
      <c r="B92" s="24"/>
    </row>
    <row r="93" spans="2:12">
      <c r="B93" s="24"/>
    </row>
    <row r="94" spans="2:12">
      <c r="B94" s="24"/>
    </row>
    <row r="95" spans="2:12">
      <c r="B95" s="24"/>
    </row>
    <row r="96" spans="2:12">
      <c r="B96" s="24"/>
    </row>
    <row r="97" spans="2:2">
      <c r="B97" s="24"/>
    </row>
    <row r="98" spans="2:2">
      <c r="B98" s="21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"/>
  <dimension ref="B2:AF45"/>
  <sheetViews>
    <sheetView topLeftCell="A22" workbookViewId="0">
      <selection activeCell="I38" sqref="I38:I39"/>
    </sheetView>
  </sheetViews>
  <sheetFormatPr defaultRowHeight="15"/>
  <cols>
    <col min="1" max="1" width="9.140625" style="17"/>
    <col min="2" max="2" width="12.42578125" style="17" customWidth="1"/>
    <col min="3" max="3" width="12.140625" style="17" customWidth="1"/>
    <col min="4" max="4" width="10" style="17" customWidth="1"/>
    <col min="5" max="5" width="11.5703125" style="17" bestFit="1" customWidth="1"/>
    <col min="6" max="7" width="9.7109375" style="17" customWidth="1"/>
    <col min="8" max="8" width="7.7109375" style="17" bestFit="1" customWidth="1"/>
    <col min="9" max="9" width="28.85546875" style="17" bestFit="1" customWidth="1"/>
    <col min="10" max="10" width="5.28515625" style="17" bestFit="1" customWidth="1"/>
    <col min="11" max="11" width="5" style="17" bestFit="1" customWidth="1"/>
    <col min="12" max="12" width="9.140625" style="17"/>
    <col min="13" max="13" width="28.42578125" style="17" bestFit="1" customWidth="1"/>
    <col min="14" max="14" width="14.5703125" style="17" bestFit="1" customWidth="1"/>
    <col min="15" max="23" width="4.5703125" style="17" bestFit="1" customWidth="1"/>
    <col min="24" max="25" width="5" style="17" bestFit="1" customWidth="1"/>
    <col min="26" max="26" width="9.140625" style="17"/>
    <col min="27" max="27" width="14.28515625" style="17" bestFit="1" customWidth="1"/>
    <col min="28" max="28" width="23.140625" style="17" bestFit="1" customWidth="1"/>
    <col min="29" max="29" width="17.28515625" style="17" bestFit="1" customWidth="1"/>
    <col min="30" max="30" width="23.140625" style="17" bestFit="1" customWidth="1"/>
    <col min="31" max="31" width="17.28515625" style="17" bestFit="1" customWidth="1"/>
    <col min="32" max="32" width="14.28515625" style="17" bestFit="1" customWidth="1"/>
    <col min="33" max="33" width="23.140625" style="17" bestFit="1" customWidth="1"/>
    <col min="34" max="34" width="17.28515625" style="17" bestFit="1" customWidth="1"/>
    <col min="35" max="16384" width="9.140625" style="17"/>
  </cols>
  <sheetData>
    <row r="2" spans="2:32" ht="15" customHeight="1">
      <c r="I2" s="269" t="s">
        <v>35</v>
      </c>
      <c r="J2" s="269"/>
      <c r="K2" s="269"/>
      <c r="M2" s="269" t="s">
        <v>40</v>
      </c>
      <c r="R2" s="7"/>
    </row>
    <row r="3" spans="2:32">
      <c r="I3" s="269"/>
      <c r="J3" s="269"/>
      <c r="K3" s="269"/>
      <c r="M3" s="269"/>
    </row>
    <row r="4" spans="2:32">
      <c r="B4" s="269" t="s">
        <v>34</v>
      </c>
      <c r="C4" s="269"/>
      <c r="D4" s="269"/>
      <c r="E4" s="269"/>
      <c r="F4" s="269"/>
      <c r="G4" s="8"/>
      <c r="I4" s="269"/>
      <c r="J4" s="269"/>
      <c r="K4" s="269"/>
      <c r="M4" s="269"/>
      <c r="U4" s="7"/>
    </row>
    <row r="5" spans="2:32">
      <c r="B5" s="269"/>
      <c r="C5" s="269"/>
      <c r="D5" s="269"/>
      <c r="E5" s="269"/>
      <c r="F5" s="269"/>
      <c r="G5" s="8"/>
      <c r="I5" s="269"/>
      <c r="J5" s="269"/>
      <c r="K5" s="269"/>
      <c r="M5" s="269"/>
    </row>
    <row r="6" spans="2:32">
      <c r="B6" s="269"/>
      <c r="C6" s="269"/>
      <c r="D6" s="269"/>
      <c r="E6" s="269"/>
      <c r="F6" s="269"/>
      <c r="G6" s="8"/>
      <c r="I6" s="269"/>
      <c r="J6" s="269"/>
      <c r="K6" s="269"/>
      <c r="M6" s="269"/>
    </row>
    <row r="7" spans="2:32">
      <c r="B7" s="269"/>
      <c r="C7" s="269"/>
      <c r="D7" s="269"/>
      <c r="E7" s="269"/>
      <c r="F7" s="269"/>
      <c r="G7" s="8"/>
      <c r="I7" s="269"/>
      <c r="J7" s="269"/>
      <c r="K7" s="269"/>
      <c r="M7" s="269"/>
      <c r="AA7" t="s">
        <v>49</v>
      </c>
    </row>
    <row r="8" spans="2:32">
      <c r="B8" s="8"/>
      <c r="C8" s="8"/>
      <c r="D8" s="8"/>
      <c r="E8" s="8"/>
      <c r="F8" s="8"/>
      <c r="G8" s="8"/>
      <c r="I8" s="8"/>
      <c r="J8" s="8"/>
      <c r="K8" s="8"/>
      <c r="M8" s="8"/>
      <c r="AA8" t="s">
        <v>113</v>
      </c>
    </row>
    <row r="9" spans="2:32" ht="15.75" thickBot="1">
      <c r="B9" s="17" t="s">
        <v>29</v>
      </c>
      <c r="I9" s="8"/>
      <c r="J9" s="8"/>
      <c r="K9" s="8"/>
      <c r="M9" s="8"/>
    </row>
    <row r="10" spans="2:32" ht="15.75" thickBot="1">
      <c r="B10" s="25"/>
      <c r="C10" s="26" t="s">
        <v>26</v>
      </c>
      <c r="D10" s="27"/>
      <c r="E10" s="26" t="s">
        <v>27</v>
      </c>
      <c r="F10" s="27"/>
      <c r="G10" s="99"/>
      <c r="I10" s="8"/>
      <c r="J10" s="8"/>
      <c r="K10" s="8"/>
      <c r="M10" s="8"/>
      <c r="AA10" t="s">
        <v>112</v>
      </c>
      <c r="AB10" t="s">
        <v>32</v>
      </c>
      <c r="AD10" t="s">
        <v>33</v>
      </c>
    </row>
    <row r="11" spans="2:32" ht="30.75" thickBot="1">
      <c r="B11" s="28" t="s">
        <v>28</v>
      </c>
      <c r="C11" s="29" t="s">
        <v>24</v>
      </c>
      <c r="D11" s="30" t="s">
        <v>25</v>
      </c>
      <c r="E11" s="29" t="s">
        <v>24</v>
      </c>
      <c r="F11" s="31" t="s">
        <v>25</v>
      </c>
      <c r="G11" s="100"/>
      <c r="I11" s="8"/>
      <c r="J11" s="8"/>
      <c r="K11" s="8"/>
      <c r="M11" s="7"/>
      <c r="O11" s="32" t="s">
        <v>43</v>
      </c>
      <c r="P11" s="32"/>
      <c r="Q11" s="32"/>
      <c r="R11" s="32" t="s">
        <v>44</v>
      </c>
      <c r="S11" s="32"/>
      <c r="T11" s="32"/>
      <c r="U11" s="32" t="s">
        <v>45</v>
      </c>
      <c r="V11" s="32"/>
      <c r="W11" s="32"/>
      <c r="X11" s="32"/>
      <c r="Y11" s="32"/>
      <c r="AA11" s="33" t="s">
        <v>46</v>
      </c>
      <c r="AB11" s="34" t="s">
        <v>48</v>
      </c>
      <c r="AC11" s="35" t="s">
        <v>47</v>
      </c>
      <c r="AD11" s="48" t="s">
        <v>48</v>
      </c>
      <c r="AE11" s="35" t="s">
        <v>47</v>
      </c>
      <c r="AF11" s="59"/>
    </row>
    <row r="12" spans="2:32" ht="15.75" thickBot="1">
      <c r="B12" s="136">
        <v>10</v>
      </c>
      <c r="C12" s="137">
        <v>1.1499999999999999</v>
      </c>
      <c r="D12" s="138">
        <v>1.1299999999999999</v>
      </c>
      <c r="E12" s="137">
        <v>1.07</v>
      </c>
      <c r="F12" s="138">
        <v>1.06</v>
      </c>
      <c r="G12" s="42"/>
      <c r="I12" s="17" t="s">
        <v>30</v>
      </c>
      <c r="M12" s="36" t="s">
        <v>42</v>
      </c>
      <c r="N12" s="37"/>
      <c r="O12" s="38" t="s">
        <v>38</v>
      </c>
      <c r="P12" s="39"/>
      <c r="Q12" s="39"/>
      <c r="R12" s="39"/>
      <c r="S12" s="39"/>
      <c r="T12" s="39"/>
      <c r="U12" s="39"/>
      <c r="V12" s="39"/>
      <c r="W12" s="39"/>
      <c r="X12" s="39"/>
      <c r="Y12" s="40"/>
      <c r="AA12" s="41" t="s">
        <v>43</v>
      </c>
      <c r="AB12" s="170">
        <v>1</v>
      </c>
      <c r="AC12" s="171">
        <v>1</v>
      </c>
      <c r="AD12" s="159">
        <v>1</v>
      </c>
      <c r="AE12" s="171">
        <v>1</v>
      </c>
      <c r="AF12" s="59"/>
    </row>
    <row r="13" spans="2:32" ht="15.75" thickBot="1">
      <c r="B13" s="139">
        <v>15</v>
      </c>
      <c r="C13" s="140">
        <v>1.1200000000000001</v>
      </c>
      <c r="D13" s="141">
        <v>1.1000000000000001</v>
      </c>
      <c r="E13" s="140">
        <v>1.04</v>
      </c>
      <c r="F13" s="141">
        <v>1.03</v>
      </c>
      <c r="G13" s="42"/>
      <c r="I13" s="43" t="s">
        <v>31</v>
      </c>
      <c r="J13" s="44" t="s">
        <v>32</v>
      </c>
      <c r="K13" s="45" t="s">
        <v>33</v>
      </c>
      <c r="M13" s="46" t="s">
        <v>41</v>
      </c>
      <c r="N13" s="47" t="s">
        <v>39</v>
      </c>
      <c r="O13" s="48">
        <v>1</v>
      </c>
      <c r="P13" s="34">
        <v>2</v>
      </c>
      <c r="Q13" s="35">
        <v>3</v>
      </c>
      <c r="R13" s="34">
        <v>1</v>
      </c>
      <c r="S13" s="34">
        <v>2</v>
      </c>
      <c r="T13" s="35">
        <v>3</v>
      </c>
      <c r="U13" s="48">
        <v>1</v>
      </c>
      <c r="V13" s="34">
        <v>2</v>
      </c>
      <c r="W13" s="34">
        <v>3</v>
      </c>
      <c r="X13" s="49">
        <v>6</v>
      </c>
      <c r="Y13" s="50">
        <v>9</v>
      </c>
      <c r="AA13" s="51"/>
      <c r="AB13" s="157">
        <v>0.9</v>
      </c>
      <c r="AC13" s="158">
        <v>0.87</v>
      </c>
      <c r="AD13" s="162">
        <v>0.87</v>
      </c>
      <c r="AE13" s="158">
        <v>0.85</v>
      </c>
      <c r="AF13" s="59"/>
    </row>
    <row r="14" spans="2:32">
      <c r="B14" s="139">
        <v>20</v>
      </c>
      <c r="C14" s="140">
        <v>1.08</v>
      </c>
      <c r="D14" s="141">
        <v>1.06</v>
      </c>
      <c r="E14" s="140">
        <v>0.96</v>
      </c>
      <c r="F14" s="141">
        <v>0.97</v>
      </c>
      <c r="G14" s="42"/>
      <c r="I14" s="147">
        <v>1</v>
      </c>
      <c r="J14" s="148">
        <v>1.25</v>
      </c>
      <c r="K14" s="149">
        <v>1.46</v>
      </c>
      <c r="M14" s="270" t="s">
        <v>37</v>
      </c>
      <c r="N14" s="52">
        <v>1</v>
      </c>
      <c r="O14" s="157">
        <v>1</v>
      </c>
      <c r="P14" s="157">
        <v>0.97</v>
      </c>
      <c r="Q14" s="158">
        <v>0.96</v>
      </c>
      <c r="R14" s="157">
        <v>1</v>
      </c>
      <c r="S14" s="157">
        <v>0.98</v>
      </c>
      <c r="T14" s="158">
        <v>0.96</v>
      </c>
      <c r="U14" s="159">
        <v>1</v>
      </c>
      <c r="V14" s="160">
        <v>0.98</v>
      </c>
      <c r="W14" s="160">
        <v>0.96</v>
      </c>
      <c r="X14" s="160">
        <v>0.93</v>
      </c>
      <c r="Y14" s="161">
        <v>0.92</v>
      </c>
      <c r="AA14" s="51"/>
      <c r="AB14" s="157">
        <v>0.82</v>
      </c>
      <c r="AC14" s="158">
        <v>0.77</v>
      </c>
      <c r="AD14" s="162">
        <v>0.8</v>
      </c>
      <c r="AE14" s="158">
        <v>0.78</v>
      </c>
      <c r="AF14" s="59"/>
    </row>
    <row r="15" spans="2:32">
      <c r="B15" s="139">
        <v>25</v>
      </c>
      <c r="C15" s="140">
        <v>1.04</v>
      </c>
      <c r="D15" s="141">
        <v>1.03</v>
      </c>
      <c r="E15" s="140">
        <v>0.93</v>
      </c>
      <c r="F15" s="141">
        <v>0.94</v>
      </c>
      <c r="G15" s="42"/>
      <c r="I15" s="150">
        <v>1.5</v>
      </c>
      <c r="J15" s="151">
        <v>1.1499999999999999</v>
      </c>
      <c r="K15" s="152">
        <v>1.24</v>
      </c>
      <c r="M15" s="271"/>
      <c r="N15" s="52">
        <v>2</v>
      </c>
      <c r="O15" s="157">
        <v>0.97</v>
      </c>
      <c r="P15" s="157">
        <v>0.94</v>
      </c>
      <c r="Q15" s="158">
        <v>0.93</v>
      </c>
      <c r="R15" s="157">
        <v>1</v>
      </c>
      <c r="S15" s="157">
        <v>0.95</v>
      </c>
      <c r="T15" s="158">
        <v>0.93</v>
      </c>
      <c r="U15" s="162">
        <v>1</v>
      </c>
      <c r="V15" s="163">
        <v>0.95</v>
      </c>
      <c r="W15" s="163">
        <v>0.93</v>
      </c>
      <c r="X15" s="163">
        <v>0.9</v>
      </c>
      <c r="Y15" s="164">
        <v>0.89</v>
      </c>
      <c r="AA15" s="51" t="s">
        <v>44</v>
      </c>
      <c r="AB15" s="157">
        <v>0.91</v>
      </c>
      <c r="AC15" s="158">
        <v>0.88</v>
      </c>
      <c r="AD15" s="162">
        <v>0.86</v>
      </c>
      <c r="AE15" s="158">
        <v>0.83</v>
      </c>
      <c r="AF15" s="59"/>
    </row>
    <row r="16" spans="2:32">
      <c r="B16" s="142">
        <v>30</v>
      </c>
      <c r="C16" s="143">
        <v>1</v>
      </c>
      <c r="D16" s="141">
        <v>1</v>
      </c>
      <c r="E16" s="143">
        <v>1</v>
      </c>
      <c r="F16" s="141">
        <v>1</v>
      </c>
      <c r="G16" s="42"/>
      <c r="I16" s="150">
        <v>2</v>
      </c>
      <c r="J16" s="151">
        <v>1.07</v>
      </c>
      <c r="K16" s="152">
        <v>1.1000000000000001</v>
      </c>
      <c r="M16" s="271"/>
      <c r="N16" s="52">
        <v>3</v>
      </c>
      <c r="O16" s="157">
        <v>0.96</v>
      </c>
      <c r="P16" s="157">
        <v>0.93</v>
      </c>
      <c r="Q16" s="158">
        <v>0.92</v>
      </c>
      <c r="R16" s="157">
        <v>1</v>
      </c>
      <c r="S16" s="157">
        <v>0.94</v>
      </c>
      <c r="T16" s="158">
        <v>0.92</v>
      </c>
      <c r="U16" s="162">
        <v>1</v>
      </c>
      <c r="V16" s="163">
        <v>0.94</v>
      </c>
      <c r="W16" s="163">
        <v>0.92</v>
      </c>
      <c r="X16" s="163">
        <v>0.89</v>
      </c>
      <c r="Y16" s="164">
        <v>0.88</v>
      </c>
      <c r="AA16" s="51"/>
      <c r="AB16" s="157">
        <v>0.85</v>
      </c>
      <c r="AC16" s="158">
        <v>0.81</v>
      </c>
      <c r="AD16" s="162">
        <v>0.79</v>
      </c>
      <c r="AE16" s="158">
        <v>0.76</v>
      </c>
      <c r="AF16" s="59"/>
    </row>
    <row r="17" spans="2:32" ht="15.75" thickBot="1">
      <c r="B17" s="139">
        <v>35</v>
      </c>
      <c r="C17" s="140">
        <v>0.96</v>
      </c>
      <c r="D17" s="141">
        <v>0.97</v>
      </c>
      <c r="E17" s="140">
        <v>0.89</v>
      </c>
      <c r="F17" s="141">
        <v>0.91</v>
      </c>
      <c r="G17" s="42"/>
      <c r="I17" s="150">
        <v>2.5</v>
      </c>
      <c r="J17" s="153">
        <v>1</v>
      </c>
      <c r="K17" s="152">
        <v>1</v>
      </c>
      <c r="M17" s="271"/>
      <c r="N17" s="52">
        <v>6</v>
      </c>
      <c r="O17" s="157">
        <v>0.94</v>
      </c>
      <c r="P17" s="157">
        <v>0.91</v>
      </c>
      <c r="Q17" s="158">
        <v>0.9</v>
      </c>
      <c r="R17" s="157">
        <v>1</v>
      </c>
      <c r="S17" s="157">
        <v>0.93</v>
      </c>
      <c r="T17" s="158">
        <v>0.9</v>
      </c>
      <c r="U17" s="162">
        <v>1</v>
      </c>
      <c r="V17" s="163">
        <v>0.93</v>
      </c>
      <c r="W17" s="163">
        <v>0.9</v>
      </c>
      <c r="X17" s="163">
        <v>0.87</v>
      </c>
      <c r="Y17" s="164">
        <v>0.86</v>
      </c>
      <c r="AA17" s="51"/>
      <c r="AB17" s="157">
        <v>0.79</v>
      </c>
      <c r="AC17" s="158">
        <v>0.73</v>
      </c>
      <c r="AD17" s="162">
        <v>0.71</v>
      </c>
      <c r="AE17" s="158">
        <v>0.67</v>
      </c>
      <c r="AF17" s="59"/>
    </row>
    <row r="18" spans="2:32" ht="15.75" thickBot="1">
      <c r="B18" s="139">
        <v>40</v>
      </c>
      <c r="C18" s="140">
        <v>0.91</v>
      </c>
      <c r="D18" s="141">
        <v>0.93</v>
      </c>
      <c r="E18" s="140">
        <v>0.85</v>
      </c>
      <c r="F18" s="141">
        <v>0.87</v>
      </c>
      <c r="G18" s="42"/>
      <c r="I18" s="154">
        <v>3</v>
      </c>
      <c r="J18" s="155">
        <v>0.94</v>
      </c>
      <c r="K18" s="156">
        <v>0.92</v>
      </c>
      <c r="M18" s="33" t="s">
        <v>36</v>
      </c>
      <c r="N18" s="53"/>
      <c r="O18" s="165">
        <v>0.94</v>
      </c>
      <c r="P18" s="165">
        <v>0.91</v>
      </c>
      <c r="Q18" s="166">
        <v>0.89</v>
      </c>
      <c r="R18" s="165">
        <v>1</v>
      </c>
      <c r="S18" s="165">
        <v>0.93</v>
      </c>
      <c r="T18" s="166">
        <v>0.9</v>
      </c>
      <c r="U18" s="167">
        <v>1</v>
      </c>
      <c r="V18" s="165">
        <v>1</v>
      </c>
      <c r="W18" s="165">
        <v>0.9</v>
      </c>
      <c r="X18" s="168">
        <v>0.87</v>
      </c>
      <c r="Y18" s="169">
        <v>0.87</v>
      </c>
      <c r="AA18" s="51" t="s">
        <v>45</v>
      </c>
      <c r="AB18" s="157">
        <v>0.91</v>
      </c>
      <c r="AC18" s="158">
        <v>0.88</v>
      </c>
      <c r="AD18" s="162">
        <v>0.86</v>
      </c>
      <c r="AE18" s="158">
        <v>0.83</v>
      </c>
      <c r="AF18" s="59"/>
    </row>
    <row r="19" spans="2:32">
      <c r="B19" s="139">
        <v>45</v>
      </c>
      <c r="C19" s="140">
        <v>0.87</v>
      </c>
      <c r="D19" s="141">
        <v>0.89</v>
      </c>
      <c r="E19" s="140">
        <v>0.8</v>
      </c>
      <c r="F19" s="141">
        <v>0.84</v>
      </c>
      <c r="G19" s="42"/>
      <c r="AA19" s="51"/>
      <c r="AB19" s="157">
        <v>0.85</v>
      </c>
      <c r="AC19" s="158">
        <v>0.81</v>
      </c>
      <c r="AD19" s="162">
        <v>0.79</v>
      </c>
      <c r="AE19" s="158">
        <v>0.76</v>
      </c>
      <c r="AF19" s="59"/>
    </row>
    <row r="20" spans="2:32" ht="15.75" thickBot="1">
      <c r="B20" s="139">
        <v>50</v>
      </c>
      <c r="C20" s="140">
        <v>0.82</v>
      </c>
      <c r="D20" s="141">
        <v>0.86</v>
      </c>
      <c r="E20" s="140">
        <v>0.76</v>
      </c>
      <c r="F20" s="141">
        <v>0.8</v>
      </c>
      <c r="G20" s="42"/>
      <c r="AA20" s="54"/>
      <c r="AB20" s="172">
        <v>0.79</v>
      </c>
      <c r="AC20" s="173">
        <v>0.73</v>
      </c>
      <c r="AD20" s="174">
        <v>0.71</v>
      </c>
      <c r="AE20" s="173">
        <v>0.67</v>
      </c>
      <c r="AF20" s="59"/>
    </row>
    <row r="21" spans="2:32">
      <c r="B21" s="139">
        <v>55</v>
      </c>
      <c r="C21" s="140">
        <v>0.76</v>
      </c>
      <c r="D21" s="141">
        <v>0.82</v>
      </c>
      <c r="E21" s="140">
        <v>0.71</v>
      </c>
      <c r="F21" s="141">
        <v>0.76</v>
      </c>
      <c r="G21" s="42"/>
    </row>
    <row r="22" spans="2:32">
      <c r="B22" s="139">
        <v>60</v>
      </c>
      <c r="C22" s="140">
        <v>0.71</v>
      </c>
      <c r="D22" s="141">
        <v>0.77</v>
      </c>
      <c r="E22" s="140">
        <v>0.65</v>
      </c>
      <c r="F22" s="141">
        <v>0.72</v>
      </c>
      <c r="G22" s="42"/>
    </row>
    <row r="23" spans="2:32">
      <c r="B23" s="139">
        <v>65</v>
      </c>
      <c r="C23" s="140">
        <v>0.65</v>
      </c>
      <c r="D23" s="141">
        <v>0.73</v>
      </c>
      <c r="E23" s="140">
        <v>0.6</v>
      </c>
      <c r="F23" s="141">
        <v>0.68</v>
      </c>
      <c r="G23" s="42"/>
      <c r="AB23" s="16"/>
      <c r="AC23" s="16"/>
    </row>
    <row r="24" spans="2:32">
      <c r="B24" s="139">
        <v>70</v>
      </c>
      <c r="C24" s="140">
        <v>0.57999999999999996</v>
      </c>
      <c r="D24" s="141">
        <v>0.68</v>
      </c>
      <c r="E24" s="140">
        <v>0.53</v>
      </c>
      <c r="F24" s="141">
        <v>0.64</v>
      </c>
      <c r="G24" s="42"/>
    </row>
    <row r="25" spans="2:32">
      <c r="B25" s="139">
        <v>75</v>
      </c>
      <c r="C25" s="140">
        <v>0.5</v>
      </c>
      <c r="D25" s="141">
        <v>0.63</v>
      </c>
      <c r="E25" s="140">
        <v>0.46</v>
      </c>
      <c r="F25" s="141">
        <v>0.59</v>
      </c>
      <c r="G25" s="42"/>
      <c r="Q25" s="7"/>
    </row>
    <row r="26" spans="2:32" ht="15.75" thickBot="1">
      <c r="B26" s="144">
        <v>80</v>
      </c>
      <c r="C26" s="145">
        <v>0.41</v>
      </c>
      <c r="D26" s="146">
        <v>0.57999999999999996</v>
      </c>
      <c r="E26" s="145">
        <v>0.38</v>
      </c>
      <c r="F26" s="146">
        <v>0.54</v>
      </c>
      <c r="G26" s="42"/>
      <c r="AA26" s="7"/>
    </row>
    <row r="27" spans="2:32">
      <c r="C27" s="55"/>
      <c r="AA27" s="7"/>
    </row>
    <row r="28" spans="2:32">
      <c r="B28" s="232"/>
      <c r="C28" s="86"/>
      <c r="D28" s="86"/>
      <c r="E28" s="212"/>
      <c r="F28" s="212"/>
      <c r="AC28" s="16"/>
      <c r="AD28" s="16"/>
    </row>
    <row r="29" spans="2:32" ht="15.75" thickBot="1">
      <c r="C29" s="56"/>
      <c r="AC29" s="16"/>
      <c r="AD29" s="16"/>
    </row>
    <row r="30" spans="2:32">
      <c r="B30" s="87" t="s">
        <v>115</v>
      </c>
      <c r="C30" s="88" t="s">
        <v>116</v>
      </c>
      <c r="D30" s="19"/>
      <c r="H30" s="92" t="s">
        <v>1</v>
      </c>
      <c r="I30" s="93" t="s">
        <v>31</v>
      </c>
      <c r="AC30" s="16"/>
      <c r="AD30" s="16"/>
    </row>
    <row r="31" spans="2:32">
      <c r="B31" s="89">
        <v>1</v>
      </c>
      <c r="C31" s="56">
        <v>10</v>
      </c>
      <c r="D31" s="77"/>
      <c r="H31" s="94">
        <v>1</v>
      </c>
      <c r="I31" s="95">
        <v>1</v>
      </c>
      <c r="AC31" s="16"/>
      <c r="AD31" s="16"/>
    </row>
    <row r="32" spans="2:32">
      <c r="B32" s="67">
        <v>2</v>
      </c>
      <c r="C32" s="56">
        <v>15</v>
      </c>
      <c r="D32" s="77"/>
      <c r="H32" s="94">
        <v>2</v>
      </c>
      <c r="I32" s="95">
        <v>1.5</v>
      </c>
      <c r="AC32" s="16"/>
      <c r="AD32" s="16"/>
    </row>
    <row r="33" spans="2:30">
      <c r="B33" s="89">
        <v>3</v>
      </c>
      <c r="C33" s="56">
        <v>20</v>
      </c>
      <c r="D33" s="77"/>
      <c r="H33" s="94">
        <v>3</v>
      </c>
      <c r="I33" s="95">
        <v>2</v>
      </c>
      <c r="AC33" s="16"/>
      <c r="AD33" s="16"/>
    </row>
    <row r="34" spans="2:30">
      <c r="B34" s="67">
        <v>4</v>
      </c>
      <c r="C34" s="56">
        <v>25</v>
      </c>
      <c r="D34" s="77"/>
      <c r="H34" s="96">
        <v>4</v>
      </c>
      <c r="I34" s="95">
        <v>2.5</v>
      </c>
    </row>
    <row r="35" spans="2:30" ht="15.75" thickBot="1">
      <c r="B35" s="89">
        <v>5</v>
      </c>
      <c r="C35" s="84">
        <v>30</v>
      </c>
      <c r="D35" s="77"/>
      <c r="H35" s="97">
        <v>5</v>
      </c>
      <c r="I35" s="98">
        <v>3</v>
      </c>
    </row>
    <row r="36" spans="2:30">
      <c r="B36" s="67">
        <v>6</v>
      </c>
      <c r="C36" s="56">
        <v>35</v>
      </c>
      <c r="D36" s="77"/>
    </row>
    <row r="37" spans="2:30">
      <c r="B37" s="89">
        <v>7</v>
      </c>
      <c r="C37" s="56">
        <v>40</v>
      </c>
      <c r="D37" s="77"/>
    </row>
    <row r="38" spans="2:30">
      <c r="B38" s="67">
        <v>8</v>
      </c>
      <c r="C38" s="56">
        <v>45</v>
      </c>
      <c r="D38" s="77"/>
    </row>
    <row r="39" spans="2:30">
      <c r="B39" s="89">
        <v>9</v>
      </c>
      <c r="C39" s="56">
        <v>50</v>
      </c>
      <c r="D39" s="77"/>
    </row>
    <row r="40" spans="2:30">
      <c r="B40" s="67">
        <v>10</v>
      </c>
      <c r="C40" s="56">
        <v>55</v>
      </c>
      <c r="D40" s="77"/>
    </row>
    <row r="41" spans="2:30">
      <c r="B41" s="89">
        <v>11</v>
      </c>
      <c r="C41" s="56">
        <v>60</v>
      </c>
      <c r="D41" s="77"/>
    </row>
    <row r="42" spans="2:30">
      <c r="B42" s="67">
        <v>12</v>
      </c>
      <c r="C42" s="56">
        <v>65</v>
      </c>
      <c r="D42" s="77"/>
    </row>
    <row r="43" spans="2:30">
      <c r="B43" s="89">
        <v>13</v>
      </c>
      <c r="C43" s="56">
        <v>70</v>
      </c>
      <c r="D43" s="77"/>
    </row>
    <row r="44" spans="2:30">
      <c r="B44" s="67">
        <v>14</v>
      </c>
      <c r="C44" s="56">
        <v>75</v>
      </c>
      <c r="D44" s="77"/>
    </row>
    <row r="45" spans="2:30" ht="15.75" thickBot="1">
      <c r="B45" s="90">
        <v>15</v>
      </c>
      <c r="C45" s="91">
        <v>80</v>
      </c>
      <c r="D45" s="83"/>
    </row>
  </sheetData>
  <mergeCells count="4">
    <mergeCell ref="M2:M7"/>
    <mergeCell ref="M14:M17"/>
    <mergeCell ref="I2:K7"/>
    <mergeCell ref="B4:F7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JK76"/>
  <sheetViews>
    <sheetView workbookViewId="0">
      <selection activeCell="O5" sqref="O5"/>
    </sheetView>
  </sheetViews>
  <sheetFormatPr defaultRowHeight="15"/>
  <cols>
    <col min="1" max="1" width="22.28515625" style="10" customWidth="1"/>
    <col min="2" max="2" width="17.5703125" style="10" customWidth="1"/>
    <col min="3" max="4" width="12.140625" style="10" customWidth="1"/>
    <col min="5" max="5" width="13.42578125" style="10" customWidth="1"/>
    <col min="6" max="8" width="9.42578125" style="10" bestFit="1" customWidth="1"/>
    <col min="9" max="10" width="10.42578125" style="10" bestFit="1" customWidth="1"/>
    <col min="11" max="11" width="9.42578125" style="10" bestFit="1" customWidth="1"/>
    <col min="12" max="12" width="9.5703125" style="10" bestFit="1" customWidth="1"/>
    <col min="13" max="16" width="9.42578125" style="10" bestFit="1" customWidth="1"/>
    <col min="17" max="17" width="9.42578125" style="10" customWidth="1"/>
    <col min="18" max="18" width="9.5703125" style="10" bestFit="1" customWidth="1"/>
    <col min="19" max="32" width="9.28515625" style="10" bestFit="1" customWidth="1"/>
    <col min="33" max="33" width="9.5703125" style="10" bestFit="1" customWidth="1"/>
    <col min="34" max="47" width="9.28515625" style="10" bestFit="1" customWidth="1"/>
    <col min="48" max="48" width="9.5703125" style="10" bestFit="1" customWidth="1"/>
    <col min="49" max="62" width="9.28515625" style="10" bestFit="1" customWidth="1"/>
    <col min="63" max="63" width="9.5703125" style="10" bestFit="1" customWidth="1"/>
    <col min="64" max="77" width="9.28515625" style="10" bestFit="1" customWidth="1"/>
    <col min="78" max="78" width="9.5703125" style="10" bestFit="1" customWidth="1"/>
    <col min="79" max="92" width="9.28515625" style="10" bestFit="1" customWidth="1"/>
    <col min="93" max="93" width="9.5703125" style="10" bestFit="1" customWidth="1"/>
    <col min="94" max="101" width="9.28515625" style="10" bestFit="1" customWidth="1"/>
    <col min="102" max="102" width="9.140625" style="10"/>
    <col min="103" max="107" width="9.28515625" style="10" bestFit="1" customWidth="1"/>
    <col min="108" max="108" width="9.5703125" style="10" bestFit="1" customWidth="1"/>
    <col min="109" max="122" width="9.28515625" style="10" bestFit="1" customWidth="1"/>
    <col min="123" max="123" width="9.5703125" style="10" bestFit="1" customWidth="1"/>
    <col min="124" max="137" width="9.28515625" style="10" bestFit="1" customWidth="1"/>
    <col min="138" max="138" width="9.5703125" style="10" bestFit="1" customWidth="1"/>
    <col min="139" max="152" width="9.28515625" style="10" bestFit="1" customWidth="1"/>
    <col min="153" max="153" width="9.5703125" style="10" bestFit="1" customWidth="1"/>
    <col min="154" max="167" width="9.28515625" style="10" bestFit="1" customWidth="1"/>
    <col min="168" max="168" width="9.5703125" style="10" bestFit="1" customWidth="1"/>
    <col min="169" max="182" width="9.28515625" style="10" bestFit="1" customWidth="1"/>
    <col min="183" max="184" width="9.5703125" style="10" bestFit="1" customWidth="1"/>
    <col min="185" max="197" width="9.28515625" style="10" bestFit="1" customWidth="1"/>
    <col min="198" max="199" width="9.5703125" style="10" bestFit="1" customWidth="1"/>
    <col min="200" max="212" width="9.28515625" style="10" bestFit="1" customWidth="1"/>
    <col min="213" max="214" width="9.5703125" style="10" bestFit="1" customWidth="1"/>
    <col min="215" max="227" width="9.28515625" style="10" bestFit="1" customWidth="1"/>
    <col min="228" max="229" width="9.5703125" style="10" bestFit="1" customWidth="1"/>
    <col min="230" max="242" width="9.28515625" style="10" bestFit="1" customWidth="1"/>
    <col min="243" max="244" width="9.5703125" style="10" bestFit="1" customWidth="1"/>
    <col min="245" max="257" width="9.28515625" style="10" bestFit="1" customWidth="1"/>
    <col min="258" max="258" width="9.5703125" style="10" bestFit="1" customWidth="1"/>
    <col min="259" max="259" width="11.5703125" style="10" bestFit="1" customWidth="1"/>
    <col min="260" max="271" width="9.28515625" style="10" bestFit="1" customWidth="1"/>
    <col min="272" max="16384" width="9.140625" style="10"/>
  </cols>
  <sheetData>
    <row r="1" spans="1:271" ht="15" customHeight="1">
      <c r="A1" s="9" t="s">
        <v>119</v>
      </c>
      <c r="E1" s="273" t="s">
        <v>76</v>
      </c>
      <c r="F1" s="273"/>
      <c r="G1" s="273"/>
      <c r="H1" s="273"/>
      <c r="I1" s="273"/>
      <c r="J1" s="273"/>
      <c r="T1" s="273" t="s">
        <v>76</v>
      </c>
      <c r="U1" s="273"/>
      <c r="V1" s="273"/>
      <c r="W1" s="273"/>
      <c r="X1" s="273"/>
      <c r="Y1" s="273"/>
      <c r="AI1" s="273" t="s">
        <v>76</v>
      </c>
      <c r="AJ1" s="273"/>
      <c r="AK1" s="273"/>
      <c r="AL1" s="273"/>
      <c r="AM1" s="273"/>
      <c r="AN1" s="273"/>
      <c r="AX1" s="273" t="s">
        <v>76</v>
      </c>
      <c r="AY1" s="273"/>
      <c r="AZ1" s="273"/>
      <c r="BA1" s="273"/>
      <c r="BB1" s="273"/>
      <c r="BC1" s="273"/>
      <c r="BM1" s="273" t="s">
        <v>76</v>
      </c>
      <c r="BN1" s="273"/>
      <c r="BO1" s="273"/>
      <c r="BP1" s="273"/>
      <c r="BQ1" s="273"/>
      <c r="BR1" s="273"/>
      <c r="CB1" s="273" t="s">
        <v>76</v>
      </c>
      <c r="CC1" s="273"/>
      <c r="CD1" s="273"/>
      <c r="CE1" s="273"/>
      <c r="CF1" s="273"/>
      <c r="CG1" s="273"/>
      <c r="CQ1" s="273" t="s">
        <v>76</v>
      </c>
      <c r="CR1" s="273"/>
      <c r="CS1" s="273"/>
      <c r="CT1" s="273"/>
      <c r="CU1" s="273"/>
      <c r="CV1" s="273"/>
      <c r="DF1" s="273" t="s">
        <v>76</v>
      </c>
      <c r="DG1" s="273"/>
      <c r="DH1" s="273"/>
      <c r="DI1" s="273"/>
      <c r="DJ1" s="273"/>
      <c r="DK1" s="273"/>
      <c r="DU1" s="273" t="s">
        <v>76</v>
      </c>
      <c r="DV1" s="273"/>
      <c r="DW1" s="273"/>
      <c r="DX1" s="273"/>
      <c r="DY1" s="273"/>
      <c r="DZ1" s="273"/>
      <c r="EJ1" s="273" t="s">
        <v>76</v>
      </c>
      <c r="EK1" s="273"/>
      <c r="EL1" s="273"/>
      <c r="EM1" s="273"/>
      <c r="EN1" s="273"/>
      <c r="EO1" s="273"/>
      <c r="EY1" s="273" t="s">
        <v>76</v>
      </c>
      <c r="EZ1" s="273"/>
      <c r="FA1" s="273"/>
      <c r="FB1" s="273"/>
      <c r="FC1" s="273"/>
      <c r="FD1" s="273"/>
      <c r="FN1" s="273" t="s">
        <v>76</v>
      </c>
      <c r="FO1" s="273"/>
      <c r="FP1" s="273"/>
      <c r="FQ1" s="273"/>
      <c r="FR1" s="273"/>
      <c r="FS1" s="273"/>
      <c r="GC1" s="273" t="s">
        <v>76</v>
      </c>
      <c r="GD1" s="273"/>
      <c r="GE1" s="273"/>
      <c r="GF1" s="273"/>
      <c r="GG1" s="273"/>
      <c r="GH1" s="273"/>
      <c r="GR1" s="273" t="s">
        <v>76</v>
      </c>
      <c r="GS1" s="273"/>
      <c r="GT1" s="273"/>
      <c r="GU1" s="273"/>
      <c r="GV1" s="273"/>
      <c r="GW1" s="273"/>
      <c r="HG1" s="273" t="s">
        <v>76</v>
      </c>
      <c r="HH1" s="273"/>
      <c r="HI1" s="273"/>
      <c r="HJ1" s="273"/>
      <c r="HK1" s="273"/>
      <c r="HL1" s="273"/>
      <c r="HV1" s="273" t="s">
        <v>76</v>
      </c>
      <c r="HW1" s="273"/>
      <c r="HX1" s="273"/>
      <c r="HY1" s="273"/>
      <c r="HZ1" s="273"/>
      <c r="IA1" s="273"/>
      <c r="IK1" s="273" t="s">
        <v>76</v>
      </c>
      <c r="IL1" s="273"/>
      <c r="IM1" s="273"/>
      <c r="IN1" s="273"/>
      <c r="IO1" s="273"/>
      <c r="IP1" s="273"/>
      <c r="IZ1" s="273" t="s">
        <v>76</v>
      </c>
      <c r="JA1" s="273"/>
      <c r="JB1" s="273"/>
      <c r="JC1" s="273"/>
      <c r="JD1" s="273"/>
      <c r="JE1" s="273"/>
    </row>
    <row r="2" spans="1:271" ht="15" customHeight="1">
      <c r="A2" s="273"/>
      <c r="B2" s="274" t="s">
        <v>50</v>
      </c>
      <c r="C2" s="273" t="s">
        <v>77</v>
      </c>
      <c r="D2" s="273" t="s">
        <v>78</v>
      </c>
      <c r="E2" s="272" t="s">
        <v>51</v>
      </c>
      <c r="F2" s="272"/>
      <c r="G2" s="272" t="s">
        <v>52</v>
      </c>
      <c r="H2" s="272"/>
      <c r="I2" s="272" t="s">
        <v>53</v>
      </c>
      <c r="J2" s="272"/>
      <c r="K2" s="272" t="s">
        <v>54</v>
      </c>
      <c r="L2" s="272"/>
      <c r="M2" s="272" t="s">
        <v>55</v>
      </c>
      <c r="N2" s="272"/>
      <c r="O2" s="273" t="s">
        <v>45</v>
      </c>
      <c r="P2" s="273"/>
      <c r="Q2" s="274" t="s">
        <v>50</v>
      </c>
      <c r="R2" s="273" t="s">
        <v>77</v>
      </c>
      <c r="S2" s="273" t="s">
        <v>78</v>
      </c>
      <c r="T2" s="272" t="s">
        <v>51</v>
      </c>
      <c r="U2" s="272"/>
      <c r="V2" s="272" t="s">
        <v>52</v>
      </c>
      <c r="W2" s="272"/>
      <c r="X2" s="272" t="s">
        <v>53</v>
      </c>
      <c r="Y2" s="272"/>
      <c r="Z2" s="272" t="s">
        <v>54</v>
      </c>
      <c r="AA2" s="272"/>
      <c r="AB2" s="272" t="s">
        <v>55</v>
      </c>
      <c r="AC2" s="272"/>
      <c r="AD2" s="273" t="s">
        <v>45</v>
      </c>
      <c r="AE2" s="273"/>
      <c r="AF2" s="274" t="s">
        <v>50</v>
      </c>
      <c r="AG2" s="273" t="s">
        <v>77</v>
      </c>
      <c r="AH2" s="273" t="s">
        <v>78</v>
      </c>
      <c r="AI2" s="272" t="s">
        <v>51</v>
      </c>
      <c r="AJ2" s="272"/>
      <c r="AK2" s="272" t="s">
        <v>52</v>
      </c>
      <c r="AL2" s="272"/>
      <c r="AM2" s="272" t="s">
        <v>53</v>
      </c>
      <c r="AN2" s="272"/>
      <c r="AO2" s="272" t="s">
        <v>54</v>
      </c>
      <c r="AP2" s="272"/>
      <c r="AQ2" s="272" t="s">
        <v>55</v>
      </c>
      <c r="AR2" s="272"/>
      <c r="AS2" s="273" t="s">
        <v>45</v>
      </c>
      <c r="AT2" s="273"/>
      <c r="AU2" s="274" t="s">
        <v>50</v>
      </c>
      <c r="AV2" s="273" t="s">
        <v>77</v>
      </c>
      <c r="AW2" s="273" t="s">
        <v>78</v>
      </c>
      <c r="AX2" s="272" t="s">
        <v>51</v>
      </c>
      <c r="AY2" s="272"/>
      <c r="AZ2" s="272" t="s">
        <v>52</v>
      </c>
      <c r="BA2" s="272"/>
      <c r="BB2" s="272" t="s">
        <v>53</v>
      </c>
      <c r="BC2" s="272"/>
      <c r="BD2" s="272" t="s">
        <v>54</v>
      </c>
      <c r="BE2" s="272"/>
      <c r="BF2" s="272" t="s">
        <v>55</v>
      </c>
      <c r="BG2" s="272"/>
      <c r="BH2" s="273" t="s">
        <v>45</v>
      </c>
      <c r="BI2" s="273"/>
      <c r="BJ2" s="274" t="s">
        <v>50</v>
      </c>
      <c r="BK2" s="273" t="s">
        <v>77</v>
      </c>
      <c r="BL2" s="273" t="s">
        <v>78</v>
      </c>
      <c r="BM2" s="272" t="s">
        <v>51</v>
      </c>
      <c r="BN2" s="272"/>
      <c r="BO2" s="272" t="s">
        <v>52</v>
      </c>
      <c r="BP2" s="272"/>
      <c r="BQ2" s="272" t="s">
        <v>53</v>
      </c>
      <c r="BR2" s="272"/>
      <c r="BS2" s="272" t="s">
        <v>54</v>
      </c>
      <c r="BT2" s="272"/>
      <c r="BU2" s="272" t="s">
        <v>55</v>
      </c>
      <c r="BV2" s="272"/>
      <c r="BW2" s="273" t="s">
        <v>45</v>
      </c>
      <c r="BX2" s="273"/>
      <c r="BY2" s="274" t="s">
        <v>50</v>
      </c>
      <c r="BZ2" s="273" t="s">
        <v>77</v>
      </c>
      <c r="CA2" s="273" t="s">
        <v>78</v>
      </c>
      <c r="CB2" s="272" t="s">
        <v>51</v>
      </c>
      <c r="CC2" s="272"/>
      <c r="CD2" s="272" t="s">
        <v>52</v>
      </c>
      <c r="CE2" s="272"/>
      <c r="CF2" s="272" t="s">
        <v>53</v>
      </c>
      <c r="CG2" s="272"/>
      <c r="CH2" s="272" t="s">
        <v>54</v>
      </c>
      <c r="CI2" s="272"/>
      <c r="CJ2" s="272" t="s">
        <v>55</v>
      </c>
      <c r="CK2" s="272"/>
      <c r="CL2" s="273" t="s">
        <v>45</v>
      </c>
      <c r="CM2" s="273"/>
      <c r="CN2" s="274" t="s">
        <v>50</v>
      </c>
      <c r="CO2" s="273" t="s">
        <v>77</v>
      </c>
      <c r="CP2" s="273" t="s">
        <v>78</v>
      </c>
      <c r="CQ2" s="272" t="s">
        <v>51</v>
      </c>
      <c r="CR2" s="272"/>
      <c r="CS2" s="272" t="s">
        <v>52</v>
      </c>
      <c r="CT2" s="272"/>
      <c r="CU2" s="272" t="s">
        <v>53</v>
      </c>
      <c r="CV2" s="272"/>
      <c r="CW2" s="272" t="s">
        <v>54</v>
      </c>
      <c r="CX2" s="272"/>
      <c r="CY2" s="272" t="s">
        <v>55</v>
      </c>
      <c r="CZ2" s="272"/>
      <c r="DA2" s="273" t="s">
        <v>45</v>
      </c>
      <c r="DB2" s="273"/>
      <c r="DC2" s="274" t="s">
        <v>50</v>
      </c>
      <c r="DD2" s="273" t="s">
        <v>77</v>
      </c>
      <c r="DE2" s="273" t="s">
        <v>78</v>
      </c>
      <c r="DF2" s="272" t="s">
        <v>51</v>
      </c>
      <c r="DG2" s="272"/>
      <c r="DH2" s="272" t="s">
        <v>52</v>
      </c>
      <c r="DI2" s="272"/>
      <c r="DJ2" s="272" t="s">
        <v>53</v>
      </c>
      <c r="DK2" s="272"/>
      <c r="DL2" s="272" t="s">
        <v>54</v>
      </c>
      <c r="DM2" s="272"/>
      <c r="DN2" s="272" t="s">
        <v>55</v>
      </c>
      <c r="DO2" s="272"/>
      <c r="DP2" s="273" t="s">
        <v>45</v>
      </c>
      <c r="DQ2" s="273"/>
      <c r="DR2" s="274" t="s">
        <v>50</v>
      </c>
      <c r="DS2" s="273" t="s">
        <v>77</v>
      </c>
      <c r="DT2" s="273" t="s">
        <v>78</v>
      </c>
      <c r="DU2" s="272" t="s">
        <v>51</v>
      </c>
      <c r="DV2" s="272"/>
      <c r="DW2" s="272" t="s">
        <v>52</v>
      </c>
      <c r="DX2" s="272"/>
      <c r="DY2" s="272" t="s">
        <v>53</v>
      </c>
      <c r="DZ2" s="272"/>
      <c r="EA2" s="272" t="s">
        <v>54</v>
      </c>
      <c r="EB2" s="272"/>
      <c r="EC2" s="272" t="s">
        <v>55</v>
      </c>
      <c r="ED2" s="272"/>
      <c r="EE2" s="273" t="s">
        <v>45</v>
      </c>
      <c r="EF2" s="273"/>
      <c r="EG2" s="274" t="s">
        <v>50</v>
      </c>
      <c r="EH2" s="273" t="s">
        <v>77</v>
      </c>
      <c r="EI2" s="273" t="s">
        <v>78</v>
      </c>
      <c r="EJ2" s="272" t="s">
        <v>51</v>
      </c>
      <c r="EK2" s="272"/>
      <c r="EL2" s="272" t="s">
        <v>52</v>
      </c>
      <c r="EM2" s="272"/>
      <c r="EN2" s="272" t="s">
        <v>53</v>
      </c>
      <c r="EO2" s="272"/>
      <c r="EP2" s="272" t="s">
        <v>54</v>
      </c>
      <c r="EQ2" s="272"/>
      <c r="ER2" s="272" t="s">
        <v>55</v>
      </c>
      <c r="ES2" s="272"/>
      <c r="ET2" s="273" t="s">
        <v>45</v>
      </c>
      <c r="EU2" s="273"/>
      <c r="EV2" s="274" t="s">
        <v>50</v>
      </c>
      <c r="EW2" s="273" t="s">
        <v>77</v>
      </c>
      <c r="EX2" s="273" t="s">
        <v>78</v>
      </c>
      <c r="EY2" s="272" t="s">
        <v>51</v>
      </c>
      <c r="EZ2" s="272"/>
      <c r="FA2" s="272" t="s">
        <v>52</v>
      </c>
      <c r="FB2" s="272"/>
      <c r="FC2" s="272" t="s">
        <v>53</v>
      </c>
      <c r="FD2" s="272"/>
      <c r="FE2" s="272" t="s">
        <v>54</v>
      </c>
      <c r="FF2" s="272"/>
      <c r="FG2" s="272" t="s">
        <v>55</v>
      </c>
      <c r="FH2" s="272"/>
      <c r="FI2" s="273" t="s">
        <v>45</v>
      </c>
      <c r="FJ2" s="273"/>
      <c r="FK2" s="274" t="s">
        <v>50</v>
      </c>
      <c r="FL2" s="273" t="s">
        <v>77</v>
      </c>
      <c r="FM2" s="273" t="s">
        <v>78</v>
      </c>
      <c r="FN2" s="272" t="s">
        <v>51</v>
      </c>
      <c r="FO2" s="272"/>
      <c r="FP2" s="272" t="s">
        <v>52</v>
      </c>
      <c r="FQ2" s="272"/>
      <c r="FR2" s="272" t="s">
        <v>53</v>
      </c>
      <c r="FS2" s="272"/>
      <c r="FT2" s="272" t="s">
        <v>54</v>
      </c>
      <c r="FU2" s="272"/>
      <c r="FV2" s="272" t="s">
        <v>55</v>
      </c>
      <c r="FW2" s="272"/>
      <c r="FX2" s="273" t="s">
        <v>45</v>
      </c>
      <c r="FY2" s="273"/>
      <c r="FZ2" s="274" t="s">
        <v>50</v>
      </c>
      <c r="GA2" s="273" t="s">
        <v>77</v>
      </c>
      <c r="GB2" s="273" t="s">
        <v>78</v>
      </c>
      <c r="GC2" s="272" t="s">
        <v>51</v>
      </c>
      <c r="GD2" s="272"/>
      <c r="GE2" s="272" t="s">
        <v>52</v>
      </c>
      <c r="GF2" s="272"/>
      <c r="GG2" s="272" t="s">
        <v>53</v>
      </c>
      <c r="GH2" s="272"/>
      <c r="GI2" s="272" t="s">
        <v>54</v>
      </c>
      <c r="GJ2" s="272"/>
      <c r="GK2" s="272" t="s">
        <v>55</v>
      </c>
      <c r="GL2" s="272"/>
      <c r="GM2" s="273" t="s">
        <v>45</v>
      </c>
      <c r="GN2" s="273"/>
      <c r="GO2" s="274" t="s">
        <v>50</v>
      </c>
      <c r="GP2" s="273" t="s">
        <v>77</v>
      </c>
      <c r="GQ2" s="273" t="s">
        <v>78</v>
      </c>
      <c r="GR2" s="272" t="s">
        <v>51</v>
      </c>
      <c r="GS2" s="272"/>
      <c r="GT2" s="272" t="s">
        <v>52</v>
      </c>
      <c r="GU2" s="272"/>
      <c r="GV2" s="272" t="s">
        <v>53</v>
      </c>
      <c r="GW2" s="272"/>
      <c r="GX2" s="272" t="s">
        <v>54</v>
      </c>
      <c r="GY2" s="272"/>
      <c r="GZ2" s="272" t="s">
        <v>55</v>
      </c>
      <c r="HA2" s="272"/>
      <c r="HB2" s="273" t="s">
        <v>45</v>
      </c>
      <c r="HC2" s="273"/>
      <c r="HD2" s="274" t="s">
        <v>50</v>
      </c>
      <c r="HE2" s="273" t="s">
        <v>77</v>
      </c>
      <c r="HF2" s="273" t="s">
        <v>78</v>
      </c>
      <c r="HG2" s="272" t="s">
        <v>51</v>
      </c>
      <c r="HH2" s="272"/>
      <c r="HI2" s="272" t="s">
        <v>52</v>
      </c>
      <c r="HJ2" s="272"/>
      <c r="HK2" s="272" t="s">
        <v>53</v>
      </c>
      <c r="HL2" s="272"/>
      <c r="HM2" s="272" t="s">
        <v>54</v>
      </c>
      <c r="HN2" s="272"/>
      <c r="HO2" s="272" t="s">
        <v>55</v>
      </c>
      <c r="HP2" s="272"/>
      <c r="HQ2" s="273" t="s">
        <v>45</v>
      </c>
      <c r="HR2" s="273"/>
      <c r="HS2" s="274" t="s">
        <v>50</v>
      </c>
      <c r="HT2" s="273" t="s">
        <v>77</v>
      </c>
      <c r="HU2" s="273" t="s">
        <v>78</v>
      </c>
      <c r="HV2" s="272" t="s">
        <v>51</v>
      </c>
      <c r="HW2" s="272"/>
      <c r="HX2" s="272" t="s">
        <v>52</v>
      </c>
      <c r="HY2" s="272"/>
      <c r="HZ2" s="272" t="s">
        <v>53</v>
      </c>
      <c r="IA2" s="272"/>
      <c r="IB2" s="272" t="s">
        <v>54</v>
      </c>
      <c r="IC2" s="272"/>
      <c r="ID2" s="272" t="s">
        <v>55</v>
      </c>
      <c r="IE2" s="272"/>
      <c r="IF2" s="273" t="s">
        <v>45</v>
      </c>
      <c r="IG2" s="273"/>
      <c r="IH2" s="274" t="s">
        <v>50</v>
      </c>
      <c r="II2" s="273" t="s">
        <v>77</v>
      </c>
      <c r="IJ2" s="273" t="s">
        <v>78</v>
      </c>
      <c r="IK2" s="272" t="s">
        <v>51</v>
      </c>
      <c r="IL2" s="272"/>
      <c r="IM2" s="272" t="s">
        <v>52</v>
      </c>
      <c r="IN2" s="272"/>
      <c r="IO2" s="272" t="s">
        <v>53</v>
      </c>
      <c r="IP2" s="272"/>
      <c r="IQ2" s="272" t="s">
        <v>54</v>
      </c>
      <c r="IR2" s="272"/>
      <c r="IS2" s="272" t="s">
        <v>55</v>
      </c>
      <c r="IT2" s="272"/>
      <c r="IU2" s="273" t="s">
        <v>45</v>
      </c>
      <c r="IV2" s="273"/>
      <c r="IW2" s="274" t="s">
        <v>50</v>
      </c>
      <c r="IX2" s="273" t="s">
        <v>77</v>
      </c>
      <c r="IY2" s="273" t="s">
        <v>78</v>
      </c>
      <c r="IZ2" s="272" t="s">
        <v>51</v>
      </c>
      <c r="JA2" s="272"/>
      <c r="JB2" s="272" t="s">
        <v>52</v>
      </c>
      <c r="JC2" s="272"/>
      <c r="JD2" s="272" t="s">
        <v>53</v>
      </c>
      <c r="JE2" s="272"/>
      <c r="JF2" s="272" t="s">
        <v>54</v>
      </c>
      <c r="JG2" s="272"/>
      <c r="JH2" s="272" t="s">
        <v>55</v>
      </c>
      <c r="JI2" s="272"/>
      <c r="JJ2" s="273" t="s">
        <v>45</v>
      </c>
      <c r="JK2" s="273"/>
    </row>
    <row r="3" spans="1:271" ht="15" customHeight="1">
      <c r="A3" s="273"/>
      <c r="B3" s="274"/>
      <c r="C3" s="273"/>
      <c r="D3" s="273"/>
      <c r="E3" s="10" t="s">
        <v>56</v>
      </c>
      <c r="F3" s="10" t="s">
        <v>57</v>
      </c>
      <c r="G3" s="10" t="s">
        <v>56</v>
      </c>
      <c r="H3" s="10" t="s">
        <v>57</v>
      </c>
      <c r="I3" s="10" t="s">
        <v>56</v>
      </c>
      <c r="J3" s="10" t="s">
        <v>57</v>
      </c>
      <c r="K3" s="10" t="s">
        <v>56</v>
      </c>
      <c r="L3" s="10" t="s">
        <v>57</v>
      </c>
      <c r="M3" s="10" t="s">
        <v>56</v>
      </c>
      <c r="N3" s="10" t="s">
        <v>57</v>
      </c>
      <c r="O3" s="10" t="s">
        <v>56</v>
      </c>
      <c r="P3" s="10" t="s">
        <v>57</v>
      </c>
      <c r="Q3" s="274"/>
      <c r="R3" s="273"/>
      <c r="S3" s="273"/>
      <c r="T3" s="10" t="s">
        <v>56</v>
      </c>
      <c r="U3" s="10" t="s">
        <v>57</v>
      </c>
      <c r="V3" s="10" t="s">
        <v>56</v>
      </c>
      <c r="W3" s="10" t="s">
        <v>57</v>
      </c>
      <c r="X3" s="10" t="s">
        <v>56</v>
      </c>
      <c r="Y3" s="10" t="s">
        <v>57</v>
      </c>
      <c r="Z3" s="10" t="s">
        <v>56</v>
      </c>
      <c r="AA3" s="10" t="s">
        <v>57</v>
      </c>
      <c r="AB3" s="10" t="s">
        <v>56</v>
      </c>
      <c r="AC3" s="10" t="s">
        <v>57</v>
      </c>
      <c r="AD3" s="10" t="s">
        <v>56</v>
      </c>
      <c r="AE3" s="10" t="s">
        <v>57</v>
      </c>
      <c r="AF3" s="274"/>
      <c r="AG3" s="273"/>
      <c r="AH3" s="273"/>
      <c r="AI3" s="10" t="s">
        <v>56</v>
      </c>
      <c r="AJ3" s="10" t="s">
        <v>57</v>
      </c>
      <c r="AK3" s="10" t="s">
        <v>56</v>
      </c>
      <c r="AL3" s="10" t="s">
        <v>57</v>
      </c>
      <c r="AM3" s="10" t="s">
        <v>56</v>
      </c>
      <c r="AN3" s="10" t="s">
        <v>57</v>
      </c>
      <c r="AO3" s="10" t="s">
        <v>56</v>
      </c>
      <c r="AP3" s="10" t="s">
        <v>57</v>
      </c>
      <c r="AQ3" s="10" t="s">
        <v>56</v>
      </c>
      <c r="AR3" s="10" t="s">
        <v>57</v>
      </c>
      <c r="AS3" s="10" t="s">
        <v>56</v>
      </c>
      <c r="AT3" s="10" t="s">
        <v>57</v>
      </c>
      <c r="AU3" s="274"/>
      <c r="AV3" s="273"/>
      <c r="AW3" s="273"/>
      <c r="AX3" s="10" t="s">
        <v>56</v>
      </c>
      <c r="AY3" s="10" t="s">
        <v>57</v>
      </c>
      <c r="AZ3" s="10" t="s">
        <v>56</v>
      </c>
      <c r="BA3" s="10" t="s">
        <v>57</v>
      </c>
      <c r="BB3" s="10" t="s">
        <v>56</v>
      </c>
      <c r="BC3" s="10" t="s">
        <v>57</v>
      </c>
      <c r="BD3" s="10" t="s">
        <v>56</v>
      </c>
      <c r="BE3" s="10" t="s">
        <v>57</v>
      </c>
      <c r="BF3" s="10" t="s">
        <v>56</v>
      </c>
      <c r="BG3" s="10" t="s">
        <v>57</v>
      </c>
      <c r="BH3" s="10" t="s">
        <v>56</v>
      </c>
      <c r="BI3" s="10" t="s">
        <v>57</v>
      </c>
      <c r="BJ3" s="274"/>
      <c r="BK3" s="273"/>
      <c r="BL3" s="273"/>
      <c r="BM3" s="10" t="s">
        <v>56</v>
      </c>
      <c r="BN3" s="10" t="s">
        <v>57</v>
      </c>
      <c r="BO3" s="10" t="s">
        <v>56</v>
      </c>
      <c r="BP3" s="10" t="s">
        <v>57</v>
      </c>
      <c r="BQ3" s="10" t="s">
        <v>56</v>
      </c>
      <c r="BR3" s="10" t="s">
        <v>57</v>
      </c>
      <c r="BS3" s="10" t="s">
        <v>56</v>
      </c>
      <c r="BT3" s="10" t="s">
        <v>57</v>
      </c>
      <c r="BU3" s="10" t="s">
        <v>56</v>
      </c>
      <c r="BV3" s="10" t="s">
        <v>57</v>
      </c>
      <c r="BW3" s="10" t="s">
        <v>56</v>
      </c>
      <c r="BX3" s="10" t="s">
        <v>57</v>
      </c>
      <c r="BY3" s="274"/>
      <c r="BZ3" s="273"/>
      <c r="CA3" s="273"/>
      <c r="CB3" s="10" t="s">
        <v>56</v>
      </c>
      <c r="CC3" s="10" t="s">
        <v>57</v>
      </c>
      <c r="CD3" s="10" t="s">
        <v>56</v>
      </c>
      <c r="CE3" s="10" t="s">
        <v>57</v>
      </c>
      <c r="CF3" s="10" t="s">
        <v>56</v>
      </c>
      <c r="CG3" s="10" t="s">
        <v>57</v>
      </c>
      <c r="CH3" s="10" t="s">
        <v>56</v>
      </c>
      <c r="CI3" s="10" t="s">
        <v>57</v>
      </c>
      <c r="CJ3" s="10" t="s">
        <v>56</v>
      </c>
      <c r="CK3" s="10" t="s">
        <v>57</v>
      </c>
      <c r="CL3" s="10" t="s">
        <v>56</v>
      </c>
      <c r="CM3" s="10" t="s">
        <v>57</v>
      </c>
      <c r="CN3" s="274"/>
      <c r="CO3" s="273"/>
      <c r="CP3" s="273"/>
      <c r="CQ3" s="10" t="s">
        <v>56</v>
      </c>
      <c r="CR3" s="10" t="s">
        <v>57</v>
      </c>
      <c r="CS3" s="10" t="s">
        <v>56</v>
      </c>
      <c r="CT3" s="10" t="s">
        <v>57</v>
      </c>
      <c r="CU3" s="10" t="s">
        <v>56</v>
      </c>
      <c r="CV3" s="10" t="s">
        <v>57</v>
      </c>
      <c r="CW3" s="10" t="s">
        <v>56</v>
      </c>
      <c r="CX3" s="10" t="s">
        <v>57</v>
      </c>
      <c r="CY3" s="10" t="s">
        <v>56</v>
      </c>
      <c r="CZ3" s="10" t="s">
        <v>57</v>
      </c>
      <c r="DA3" s="10" t="s">
        <v>56</v>
      </c>
      <c r="DB3" s="10" t="s">
        <v>57</v>
      </c>
      <c r="DC3" s="274"/>
      <c r="DD3" s="273"/>
      <c r="DE3" s="273"/>
      <c r="DF3" s="10" t="s">
        <v>56</v>
      </c>
      <c r="DG3" s="10" t="s">
        <v>57</v>
      </c>
      <c r="DH3" s="10" t="s">
        <v>56</v>
      </c>
      <c r="DI3" s="10" t="s">
        <v>57</v>
      </c>
      <c r="DJ3" s="10" t="s">
        <v>56</v>
      </c>
      <c r="DK3" s="10" t="s">
        <v>57</v>
      </c>
      <c r="DL3" s="10" t="s">
        <v>56</v>
      </c>
      <c r="DM3" s="10" t="s">
        <v>57</v>
      </c>
      <c r="DN3" s="10" t="s">
        <v>56</v>
      </c>
      <c r="DO3" s="10" t="s">
        <v>57</v>
      </c>
      <c r="DP3" s="10" t="s">
        <v>56</v>
      </c>
      <c r="DQ3" s="10" t="s">
        <v>57</v>
      </c>
      <c r="DR3" s="274"/>
      <c r="DS3" s="273"/>
      <c r="DT3" s="273"/>
      <c r="DU3" s="10" t="s">
        <v>56</v>
      </c>
      <c r="DV3" s="10" t="s">
        <v>57</v>
      </c>
      <c r="DW3" s="10" t="s">
        <v>56</v>
      </c>
      <c r="DX3" s="10" t="s">
        <v>57</v>
      </c>
      <c r="DY3" s="10" t="s">
        <v>56</v>
      </c>
      <c r="DZ3" s="10" t="s">
        <v>57</v>
      </c>
      <c r="EA3" s="10" t="s">
        <v>56</v>
      </c>
      <c r="EB3" s="10" t="s">
        <v>57</v>
      </c>
      <c r="EC3" s="10" t="s">
        <v>56</v>
      </c>
      <c r="ED3" s="10" t="s">
        <v>57</v>
      </c>
      <c r="EE3" s="10" t="s">
        <v>56</v>
      </c>
      <c r="EF3" s="10" t="s">
        <v>57</v>
      </c>
      <c r="EG3" s="274"/>
      <c r="EH3" s="273"/>
      <c r="EI3" s="273"/>
      <c r="EJ3" s="10" t="s">
        <v>56</v>
      </c>
      <c r="EK3" s="10" t="s">
        <v>57</v>
      </c>
      <c r="EL3" s="10" t="s">
        <v>56</v>
      </c>
      <c r="EM3" s="10" t="s">
        <v>57</v>
      </c>
      <c r="EN3" s="10" t="s">
        <v>56</v>
      </c>
      <c r="EO3" s="10" t="s">
        <v>57</v>
      </c>
      <c r="EP3" s="10" t="s">
        <v>56</v>
      </c>
      <c r="EQ3" s="10" t="s">
        <v>57</v>
      </c>
      <c r="ER3" s="10" t="s">
        <v>56</v>
      </c>
      <c r="ES3" s="10" t="s">
        <v>57</v>
      </c>
      <c r="ET3" s="10" t="s">
        <v>56</v>
      </c>
      <c r="EU3" s="10" t="s">
        <v>57</v>
      </c>
      <c r="EV3" s="274"/>
      <c r="EW3" s="273"/>
      <c r="EX3" s="273"/>
      <c r="EY3" s="10" t="s">
        <v>56</v>
      </c>
      <c r="EZ3" s="10" t="s">
        <v>57</v>
      </c>
      <c r="FA3" s="10" t="s">
        <v>56</v>
      </c>
      <c r="FB3" s="10" t="s">
        <v>57</v>
      </c>
      <c r="FC3" s="10" t="s">
        <v>56</v>
      </c>
      <c r="FD3" s="10" t="s">
        <v>57</v>
      </c>
      <c r="FE3" s="10" t="s">
        <v>56</v>
      </c>
      <c r="FF3" s="10" t="s">
        <v>57</v>
      </c>
      <c r="FG3" s="10" t="s">
        <v>56</v>
      </c>
      <c r="FH3" s="10" t="s">
        <v>57</v>
      </c>
      <c r="FI3" s="10" t="s">
        <v>56</v>
      </c>
      <c r="FJ3" s="10" t="s">
        <v>57</v>
      </c>
      <c r="FK3" s="274"/>
      <c r="FL3" s="273"/>
      <c r="FM3" s="273"/>
      <c r="FN3" s="10" t="s">
        <v>56</v>
      </c>
      <c r="FO3" s="10" t="s">
        <v>57</v>
      </c>
      <c r="FP3" s="10" t="s">
        <v>56</v>
      </c>
      <c r="FQ3" s="10" t="s">
        <v>57</v>
      </c>
      <c r="FR3" s="10" t="s">
        <v>56</v>
      </c>
      <c r="FS3" s="10" t="s">
        <v>57</v>
      </c>
      <c r="FT3" s="10" t="s">
        <v>56</v>
      </c>
      <c r="FU3" s="10" t="s">
        <v>57</v>
      </c>
      <c r="FV3" s="10" t="s">
        <v>56</v>
      </c>
      <c r="FW3" s="10" t="s">
        <v>57</v>
      </c>
      <c r="FX3" s="10" t="s">
        <v>56</v>
      </c>
      <c r="FY3" s="10" t="s">
        <v>57</v>
      </c>
      <c r="FZ3" s="274"/>
      <c r="GA3" s="273"/>
      <c r="GB3" s="273"/>
      <c r="GC3" s="10" t="s">
        <v>56</v>
      </c>
      <c r="GD3" s="10" t="s">
        <v>57</v>
      </c>
      <c r="GE3" s="10" t="s">
        <v>56</v>
      </c>
      <c r="GF3" s="10" t="s">
        <v>57</v>
      </c>
      <c r="GG3" s="10" t="s">
        <v>56</v>
      </c>
      <c r="GH3" s="10" t="s">
        <v>57</v>
      </c>
      <c r="GI3" s="10" t="s">
        <v>56</v>
      </c>
      <c r="GJ3" s="10" t="s">
        <v>57</v>
      </c>
      <c r="GK3" s="10" t="s">
        <v>56</v>
      </c>
      <c r="GL3" s="10" t="s">
        <v>57</v>
      </c>
      <c r="GM3" s="10" t="s">
        <v>56</v>
      </c>
      <c r="GN3" s="10" t="s">
        <v>57</v>
      </c>
      <c r="GO3" s="274"/>
      <c r="GP3" s="273"/>
      <c r="GQ3" s="273"/>
      <c r="GR3" s="10" t="s">
        <v>56</v>
      </c>
      <c r="GS3" s="10" t="s">
        <v>57</v>
      </c>
      <c r="GT3" s="10" t="s">
        <v>56</v>
      </c>
      <c r="GU3" s="10" t="s">
        <v>57</v>
      </c>
      <c r="GV3" s="10" t="s">
        <v>56</v>
      </c>
      <c r="GW3" s="10" t="s">
        <v>57</v>
      </c>
      <c r="GX3" s="10" t="s">
        <v>56</v>
      </c>
      <c r="GY3" s="10" t="s">
        <v>57</v>
      </c>
      <c r="GZ3" s="10" t="s">
        <v>56</v>
      </c>
      <c r="HA3" s="10" t="s">
        <v>57</v>
      </c>
      <c r="HB3" s="10" t="s">
        <v>56</v>
      </c>
      <c r="HC3" s="10" t="s">
        <v>57</v>
      </c>
      <c r="HD3" s="274"/>
      <c r="HE3" s="273"/>
      <c r="HF3" s="273"/>
      <c r="HG3" s="10" t="s">
        <v>56</v>
      </c>
      <c r="HH3" s="10" t="s">
        <v>57</v>
      </c>
      <c r="HI3" s="10" t="s">
        <v>56</v>
      </c>
      <c r="HJ3" s="10" t="s">
        <v>57</v>
      </c>
      <c r="HK3" s="10" t="s">
        <v>56</v>
      </c>
      <c r="HL3" s="10" t="s">
        <v>57</v>
      </c>
      <c r="HM3" s="10" t="s">
        <v>56</v>
      </c>
      <c r="HN3" s="10" t="s">
        <v>57</v>
      </c>
      <c r="HO3" s="10" t="s">
        <v>56</v>
      </c>
      <c r="HP3" s="10" t="s">
        <v>57</v>
      </c>
      <c r="HQ3" s="10" t="s">
        <v>56</v>
      </c>
      <c r="HR3" s="10" t="s">
        <v>57</v>
      </c>
      <c r="HS3" s="274"/>
      <c r="HT3" s="273"/>
      <c r="HU3" s="273"/>
      <c r="HV3" s="10" t="s">
        <v>56</v>
      </c>
      <c r="HW3" s="10" t="s">
        <v>57</v>
      </c>
      <c r="HX3" s="10" t="s">
        <v>56</v>
      </c>
      <c r="HY3" s="10" t="s">
        <v>57</v>
      </c>
      <c r="HZ3" s="10" t="s">
        <v>56</v>
      </c>
      <c r="IA3" s="10" t="s">
        <v>57</v>
      </c>
      <c r="IB3" s="10" t="s">
        <v>56</v>
      </c>
      <c r="IC3" s="10" t="s">
        <v>57</v>
      </c>
      <c r="ID3" s="10" t="s">
        <v>56</v>
      </c>
      <c r="IE3" s="10" t="s">
        <v>57</v>
      </c>
      <c r="IF3" s="10" t="s">
        <v>56</v>
      </c>
      <c r="IG3" s="10" t="s">
        <v>57</v>
      </c>
      <c r="IH3" s="274"/>
      <c r="II3" s="273"/>
      <c r="IJ3" s="273"/>
      <c r="IK3" s="10" t="s">
        <v>56</v>
      </c>
      <c r="IL3" s="10" t="s">
        <v>57</v>
      </c>
      <c r="IM3" s="10" t="s">
        <v>56</v>
      </c>
      <c r="IN3" s="10" t="s">
        <v>57</v>
      </c>
      <c r="IO3" s="10" t="s">
        <v>56</v>
      </c>
      <c r="IP3" s="10" t="s">
        <v>57</v>
      </c>
      <c r="IQ3" s="10" t="s">
        <v>56</v>
      </c>
      <c r="IR3" s="10" t="s">
        <v>57</v>
      </c>
      <c r="IS3" s="10" t="s">
        <v>56</v>
      </c>
      <c r="IT3" s="10" t="s">
        <v>57</v>
      </c>
      <c r="IU3" s="10" t="s">
        <v>56</v>
      </c>
      <c r="IV3" s="10" t="s">
        <v>57</v>
      </c>
      <c r="IW3" s="274"/>
      <c r="IX3" s="273"/>
      <c r="IY3" s="273"/>
      <c r="IZ3" s="10" t="s">
        <v>56</v>
      </c>
      <c r="JA3" s="10" t="s">
        <v>57</v>
      </c>
      <c r="JB3" s="10" t="s">
        <v>56</v>
      </c>
      <c r="JC3" s="10" t="s">
        <v>57</v>
      </c>
      <c r="JD3" s="10" t="s">
        <v>56</v>
      </c>
      <c r="JE3" s="10" t="s">
        <v>57</v>
      </c>
      <c r="JF3" s="10" t="s">
        <v>56</v>
      </c>
      <c r="JG3" s="10" t="s">
        <v>57</v>
      </c>
      <c r="JH3" s="10" t="s">
        <v>56</v>
      </c>
      <c r="JI3" s="10" t="s">
        <v>57</v>
      </c>
      <c r="JJ3" s="10" t="s">
        <v>56</v>
      </c>
      <c r="JK3" s="10" t="s">
        <v>57</v>
      </c>
    </row>
    <row r="4" spans="1:271" ht="15" customHeight="1">
      <c r="B4" s="10" t="s">
        <v>81</v>
      </c>
      <c r="C4" s="10" t="s">
        <v>82</v>
      </c>
      <c r="D4" s="10" t="s">
        <v>82</v>
      </c>
      <c r="E4" s="10" t="s">
        <v>81</v>
      </c>
      <c r="F4" s="10" t="s">
        <v>82</v>
      </c>
      <c r="G4" s="10" t="s">
        <v>81</v>
      </c>
      <c r="H4" s="10" t="s">
        <v>82</v>
      </c>
      <c r="I4" s="10" t="s">
        <v>81</v>
      </c>
      <c r="J4" s="10" t="s">
        <v>82</v>
      </c>
      <c r="K4" s="10" t="s">
        <v>81</v>
      </c>
      <c r="L4" s="10" t="s">
        <v>82</v>
      </c>
      <c r="M4" s="10" t="s">
        <v>81</v>
      </c>
      <c r="N4" s="10" t="s">
        <v>82</v>
      </c>
      <c r="O4" s="10" t="s">
        <v>81</v>
      </c>
      <c r="P4" s="10" t="s">
        <v>82</v>
      </c>
      <c r="Q4" s="10" t="s">
        <v>81</v>
      </c>
      <c r="R4" s="10" t="s">
        <v>82</v>
      </c>
      <c r="S4" s="10" t="s">
        <v>82</v>
      </c>
      <c r="T4" s="10" t="s">
        <v>81</v>
      </c>
      <c r="U4" s="10" t="s">
        <v>82</v>
      </c>
      <c r="V4" s="10" t="s">
        <v>81</v>
      </c>
      <c r="W4" s="10" t="s">
        <v>82</v>
      </c>
      <c r="X4" s="10" t="s">
        <v>81</v>
      </c>
      <c r="Y4" s="10" t="s">
        <v>82</v>
      </c>
      <c r="Z4" s="10" t="s">
        <v>81</v>
      </c>
      <c r="AA4" s="10" t="s">
        <v>82</v>
      </c>
      <c r="AB4" s="10" t="s">
        <v>81</v>
      </c>
      <c r="AC4" s="10" t="s">
        <v>82</v>
      </c>
      <c r="AD4" s="10" t="s">
        <v>81</v>
      </c>
      <c r="AE4" s="10" t="s">
        <v>82</v>
      </c>
      <c r="AF4" s="10" t="s">
        <v>81</v>
      </c>
      <c r="AG4" s="10" t="s">
        <v>82</v>
      </c>
      <c r="AH4" s="10" t="s">
        <v>82</v>
      </c>
      <c r="AI4" s="10" t="s">
        <v>81</v>
      </c>
      <c r="AJ4" s="10" t="s">
        <v>82</v>
      </c>
      <c r="AK4" s="10" t="s">
        <v>81</v>
      </c>
      <c r="AL4" s="10" t="s">
        <v>82</v>
      </c>
      <c r="AM4" s="10" t="s">
        <v>81</v>
      </c>
      <c r="AN4" s="10" t="s">
        <v>82</v>
      </c>
      <c r="AO4" s="10" t="s">
        <v>81</v>
      </c>
      <c r="AP4" s="10" t="s">
        <v>82</v>
      </c>
      <c r="AQ4" s="10" t="s">
        <v>81</v>
      </c>
      <c r="AR4" s="10" t="s">
        <v>82</v>
      </c>
      <c r="AS4" s="10" t="s">
        <v>81</v>
      </c>
      <c r="AT4" s="10" t="s">
        <v>82</v>
      </c>
      <c r="AU4" s="10" t="s">
        <v>81</v>
      </c>
      <c r="AV4" s="10" t="s">
        <v>82</v>
      </c>
      <c r="AW4" s="10" t="s">
        <v>82</v>
      </c>
      <c r="AX4" s="10" t="s">
        <v>81</v>
      </c>
      <c r="AY4" s="10" t="s">
        <v>82</v>
      </c>
      <c r="AZ4" s="10" t="s">
        <v>81</v>
      </c>
      <c r="BA4" s="10" t="s">
        <v>82</v>
      </c>
      <c r="BB4" s="10" t="s">
        <v>81</v>
      </c>
      <c r="BC4" s="10" t="s">
        <v>82</v>
      </c>
      <c r="BD4" s="10" t="s">
        <v>81</v>
      </c>
      <c r="BE4" s="10" t="s">
        <v>82</v>
      </c>
      <c r="BF4" s="10" t="s">
        <v>81</v>
      </c>
      <c r="BG4" s="10" t="s">
        <v>82</v>
      </c>
      <c r="BH4" s="10" t="s">
        <v>81</v>
      </c>
      <c r="BI4" s="10" t="s">
        <v>82</v>
      </c>
      <c r="BJ4" s="10" t="s">
        <v>81</v>
      </c>
      <c r="BK4" s="10" t="s">
        <v>82</v>
      </c>
      <c r="BL4" s="10" t="s">
        <v>82</v>
      </c>
      <c r="BM4" s="10" t="s">
        <v>81</v>
      </c>
      <c r="BN4" s="10" t="s">
        <v>82</v>
      </c>
      <c r="BO4" s="10" t="s">
        <v>81</v>
      </c>
      <c r="BP4" s="10" t="s">
        <v>82</v>
      </c>
      <c r="BQ4" s="10" t="s">
        <v>81</v>
      </c>
      <c r="BR4" s="10" t="s">
        <v>82</v>
      </c>
      <c r="BS4" s="10" t="s">
        <v>81</v>
      </c>
      <c r="BT4" s="10" t="s">
        <v>82</v>
      </c>
      <c r="BU4" s="10" t="s">
        <v>81</v>
      </c>
      <c r="BV4" s="10" t="s">
        <v>82</v>
      </c>
      <c r="BW4" s="10" t="s">
        <v>81</v>
      </c>
      <c r="BX4" s="10" t="s">
        <v>82</v>
      </c>
      <c r="BY4" s="10" t="s">
        <v>81</v>
      </c>
      <c r="BZ4" s="10" t="s">
        <v>82</v>
      </c>
      <c r="CA4" s="10" t="s">
        <v>82</v>
      </c>
      <c r="CB4" s="10" t="s">
        <v>81</v>
      </c>
      <c r="CC4" s="10" t="s">
        <v>82</v>
      </c>
      <c r="CD4" s="10" t="s">
        <v>81</v>
      </c>
      <c r="CE4" s="10" t="s">
        <v>82</v>
      </c>
      <c r="CF4" s="10" t="s">
        <v>81</v>
      </c>
      <c r="CG4" s="10" t="s">
        <v>82</v>
      </c>
      <c r="CH4" s="10" t="s">
        <v>81</v>
      </c>
      <c r="CI4" s="10" t="s">
        <v>82</v>
      </c>
      <c r="CJ4" s="10" t="s">
        <v>81</v>
      </c>
      <c r="CK4" s="10" t="s">
        <v>82</v>
      </c>
      <c r="CL4" s="10" t="s">
        <v>81</v>
      </c>
      <c r="CM4" s="10" t="s">
        <v>82</v>
      </c>
      <c r="CN4" s="10" t="s">
        <v>81</v>
      </c>
      <c r="CO4" s="10" t="s">
        <v>82</v>
      </c>
      <c r="CP4" s="10" t="s">
        <v>82</v>
      </c>
      <c r="CQ4" s="10" t="s">
        <v>81</v>
      </c>
      <c r="CR4" s="10" t="s">
        <v>82</v>
      </c>
      <c r="CS4" s="10" t="s">
        <v>81</v>
      </c>
      <c r="CT4" s="10" t="s">
        <v>82</v>
      </c>
      <c r="CU4" s="10" t="s">
        <v>81</v>
      </c>
      <c r="CV4" s="10" t="s">
        <v>82</v>
      </c>
      <c r="CW4" s="10" t="s">
        <v>81</v>
      </c>
      <c r="CX4" s="10" t="s">
        <v>82</v>
      </c>
      <c r="CY4" s="10" t="s">
        <v>81</v>
      </c>
      <c r="CZ4" s="10" t="s">
        <v>82</v>
      </c>
      <c r="DA4" s="10" t="s">
        <v>81</v>
      </c>
      <c r="DB4" s="10" t="s">
        <v>82</v>
      </c>
      <c r="DC4" s="10" t="s">
        <v>81</v>
      </c>
      <c r="DD4" s="10" t="s">
        <v>82</v>
      </c>
      <c r="DE4" s="10" t="s">
        <v>82</v>
      </c>
      <c r="DF4" s="10" t="s">
        <v>81</v>
      </c>
      <c r="DG4" s="10" t="s">
        <v>82</v>
      </c>
      <c r="DH4" s="10" t="s">
        <v>81</v>
      </c>
      <c r="DI4" s="10" t="s">
        <v>82</v>
      </c>
      <c r="DJ4" s="10" t="s">
        <v>81</v>
      </c>
      <c r="DK4" s="10" t="s">
        <v>82</v>
      </c>
      <c r="DL4" s="10" t="s">
        <v>81</v>
      </c>
      <c r="DM4" s="10" t="s">
        <v>82</v>
      </c>
      <c r="DN4" s="10" t="s">
        <v>81</v>
      </c>
      <c r="DO4" s="10" t="s">
        <v>82</v>
      </c>
      <c r="DP4" s="10" t="s">
        <v>81</v>
      </c>
      <c r="DQ4" s="10" t="s">
        <v>82</v>
      </c>
      <c r="DR4" s="10" t="s">
        <v>81</v>
      </c>
      <c r="DS4" s="10" t="s">
        <v>82</v>
      </c>
      <c r="DT4" s="10" t="s">
        <v>82</v>
      </c>
      <c r="DU4" s="10" t="s">
        <v>81</v>
      </c>
      <c r="DV4" s="10" t="s">
        <v>82</v>
      </c>
      <c r="DW4" s="10" t="s">
        <v>81</v>
      </c>
      <c r="DX4" s="10" t="s">
        <v>82</v>
      </c>
      <c r="DY4" s="10" t="s">
        <v>81</v>
      </c>
      <c r="DZ4" s="10" t="s">
        <v>82</v>
      </c>
      <c r="EA4" s="10" t="s">
        <v>81</v>
      </c>
      <c r="EB4" s="10" t="s">
        <v>82</v>
      </c>
      <c r="EC4" s="10" t="s">
        <v>81</v>
      </c>
      <c r="ED4" s="10" t="s">
        <v>82</v>
      </c>
      <c r="EE4" s="10" t="s">
        <v>81</v>
      </c>
      <c r="EF4" s="10" t="s">
        <v>82</v>
      </c>
      <c r="EG4" s="10" t="s">
        <v>81</v>
      </c>
      <c r="EH4" s="10" t="s">
        <v>82</v>
      </c>
      <c r="EI4" s="10" t="s">
        <v>82</v>
      </c>
      <c r="EJ4" s="10" t="s">
        <v>81</v>
      </c>
      <c r="EK4" s="10" t="s">
        <v>82</v>
      </c>
      <c r="EL4" s="10" t="s">
        <v>81</v>
      </c>
      <c r="EM4" s="10" t="s">
        <v>82</v>
      </c>
      <c r="EN4" s="10" t="s">
        <v>81</v>
      </c>
      <c r="EO4" s="10" t="s">
        <v>82</v>
      </c>
      <c r="EP4" s="10" t="s">
        <v>81</v>
      </c>
      <c r="EQ4" s="10" t="s">
        <v>82</v>
      </c>
      <c r="ER4" s="10" t="s">
        <v>81</v>
      </c>
      <c r="ES4" s="10" t="s">
        <v>82</v>
      </c>
      <c r="ET4" s="10" t="s">
        <v>81</v>
      </c>
      <c r="EU4" s="10" t="s">
        <v>82</v>
      </c>
      <c r="EV4" s="10" t="s">
        <v>81</v>
      </c>
      <c r="EW4" s="10" t="s">
        <v>82</v>
      </c>
      <c r="EX4" s="10" t="s">
        <v>82</v>
      </c>
      <c r="EY4" s="10" t="s">
        <v>81</v>
      </c>
      <c r="EZ4" s="10" t="s">
        <v>82</v>
      </c>
      <c r="FA4" s="10" t="s">
        <v>81</v>
      </c>
      <c r="FB4" s="10" t="s">
        <v>82</v>
      </c>
      <c r="FC4" s="10" t="s">
        <v>81</v>
      </c>
      <c r="FD4" s="10" t="s">
        <v>82</v>
      </c>
      <c r="FE4" s="10" t="s">
        <v>81</v>
      </c>
      <c r="FF4" s="10" t="s">
        <v>82</v>
      </c>
      <c r="FG4" s="10" t="s">
        <v>81</v>
      </c>
      <c r="FH4" s="10" t="s">
        <v>82</v>
      </c>
      <c r="FI4" s="10" t="s">
        <v>81</v>
      </c>
      <c r="FJ4" s="10" t="s">
        <v>82</v>
      </c>
      <c r="FK4" s="10" t="s">
        <v>81</v>
      </c>
      <c r="FL4" s="10" t="s">
        <v>82</v>
      </c>
      <c r="FM4" s="10" t="s">
        <v>82</v>
      </c>
      <c r="FN4" s="10" t="s">
        <v>81</v>
      </c>
      <c r="FO4" s="10" t="s">
        <v>82</v>
      </c>
      <c r="FP4" s="10" t="s">
        <v>81</v>
      </c>
      <c r="FQ4" s="10" t="s">
        <v>82</v>
      </c>
      <c r="FR4" s="10" t="s">
        <v>81</v>
      </c>
      <c r="FS4" s="10" t="s">
        <v>82</v>
      </c>
      <c r="FT4" s="10" t="s">
        <v>81</v>
      </c>
      <c r="FU4" s="10" t="s">
        <v>82</v>
      </c>
      <c r="FV4" s="10" t="s">
        <v>81</v>
      </c>
      <c r="FW4" s="10" t="s">
        <v>82</v>
      </c>
      <c r="FX4" s="10" t="s">
        <v>81</v>
      </c>
      <c r="FY4" s="10" t="s">
        <v>82</v>
      </c>
      <c r="FZ4" s="10" t="s">
        <v>81</v>
      </c>
      <c r="GA4" s="10" t="s">
        <v>82</v>
      </c>
      <c r="GB4" s="10" t="s">
        <v>82</v>
      </c>
      <c r="GC4" s="10" t="s">
        <v>81</v>
      </c>
      <c r="GD4" s="10" t="s">
        <v>82</v>
      </c>
      <c r="GE4" s="10" t="s">
        <v>81</v>
      </c>
      <c r="GF4" s="10" t="s">
        <v>82</v>
      </c>
      <c r="GG4" s="10" t="s">
        <v>81</v>
      </c>
      <c r="GH4" s="10" t="s">
        <v>82</v>
      </c>
      <c r="GI4" s="10" t="s">
        <v>81</v>
      </c>
      <c r="GJ4" s="10" t="s">
        <v>82</v>
      </c>
      <c r="GK4" s="10" t="s">
        <v>81</v>
      </c>
      <c r="GL4" s="10" t="s">
        <v>82</v>
      </c>
      <c r="GM4" s="10" t="s">
        <v>81</v>
      </c>
      <c r="GN4" s="10" t="s">
        <v>82</v>
      </c>
      <c r="GO4" s="10" t="s">
        <v>81</v>
      </c>
      <c r="GP4" s="10" t="s">
        <v>82</v>
      </c>
      <c r="GQ4" s="10" t="s">
        <v>82</v>
      </c>
      <c r="GR4" s="10" t="s">
        <v>81</v>
      </c>
      <c r="GS4" s="10" t="s">
        <v>82</v>
      </c>
      <c r="GT4" s="10" t="s">
        <v>81</v>
      </c>
      <c r="GU4" s="10" t="s">
        <v>82</v>
      </c>
      <c r="GV4" s="10" t="s">
        <v>81</v>
      </c>
      <c r="GW4" s="10" t="s">
        <v>82</v>
      </c>
      <c r="GX4" s="10" t="s">
        <v>81</v>
      </c>
      <c r="GY4" s="10" t="s">
        <v>82</v>
      </c>
      <c r="GZ4" s="10" t="s">
        <v>81</v>
      </c>
      <c r="HA4" s="10" t="s">
        <v>82</v>
      </c>
      <c r="HB4" s="10" t="s">
        <v>81</v>
      </c>
      <c r="HC4" s="10" t="s">
        <v>82</v>
      </c>
      <c r="HD4" s="10" t="s">
        <v>81</v>
      </c>
      <c r="HE4" s="10" t="s">
        <v>82</v>
      </c>
      <c r="HF4" s="10" t="s">
        <v>82</v>
      </c>
      <c r="HG4" s="10" t="s">
        <v>81</v>
      </c>
      <c r="HH4" s="10" t="s">
        <v>82</v>
      </c>
      <c r="HI4" s="10" t="s">
        <v>81</v>
      </c>
      <c r="HJ4" s="10" t="s">
        <v>82</v>
      </c>
      <c r="HK4" s="10" t="s">
        <v>81</v>
      </c>
      <c r="HL4" s="10" t="s">
        <v>82</v>
      </c>
      <c r="HM4" s="10" t="s">
        <v>81</v>
      </c>
      <c r="HN4" s="10" t="s">
        <v>82</v>
      </c>
      <c r="HO4" s="10" t="s">
        <v>81</v>
      </c>
      <c r="HP4" s="10" t="s">
        <v>82</v>
      </c>
      <c r="HQ4" s="10" t="s">
        <v>81</v>
      </c>
      <c r="HR4" s="10" t="s">
        <v>82</v>
      </c>
      <c r="HS4" s="10" t="s">
        <v>81</v>
      </c>
      <c r="HT4" s="10" t="s">
        <v>82</v>
      </c>
      <c r="HU4" s="10" t="s">
        <v>82</v>
      </c>
      <c r="HV4" s="10" t="s">
        <v>81</v>
      </c>
      <c r="HW4" s="10" t="s">
        <v>82</v>
      </c>
      <c r="HX4" s="10" t="s">
        <v>81</v>
      </c>
      <c r="HY4" s="10" t="s">
        <v>82</v>
      </c>
      <c r="HZ4" s="10" t="s">
        <v>81</v>
      </c>
      <c r="IA4" s="10" t="s">
        <v>82</v>
      </c>
      <c r="IB4" s="10" t="s">
        <v>81</v>
      </c>
      <c r="IC4" s="10" t="s">
        <v>82</v>
      </c>
      <c r="ID4" s="10" t="s">
        <v>81</v>
      </c>
      <c r="IE4" s="10" t="s">
        <v>82</v>
      </c>
      <c r="IF4" s="10" t="s">
        <v>81</v>
      </c>
      <c r="IG4" s="10" t="s">
        <v>82</v>
      </c>
      <c r="IH4" s="10" t="s">
        <v>81</v>
      </c>
      <c r="II4" s="10" t="s">
        <v>82</v>
      </c>
      <c r="IJ4" s="10" t="s">
        <v>82</v>
      </c>
      <c r="IK4" s="10" t="s">
        <v>81</v>
      </c>
      <c r="IL4" s="10" t="s">
        <v>82</v>
      </c>
      <c r="IM4" s="10" t="s">
        <v>81</v>
      </c>
      <c r="IN4" s="10" t="s">
        <v>82</v>
      </c>
      <c r="IO4" s="10" t="s">
        <v>81</v>
      </c>
      <c r="IP4" s="10" t="s">
        <v>82</v>
      </c>
      <c r="IQ4" s="10" t="s">
        <v>81</v>
      </c>
      <c r="IR4" s="10" t="s">
        <v>82</v>
      </c>
      <c r="IS4" s="10" t="s">
        <v>81</v>
      </c>
      <c r="IT4" s="10" t="s">
        <v>82</v>
      </c>
      <c r="IU4" s="10" t="s">
        <v>81</v>
      </c>
      <c r="IV4" s="10" t="s">
        <v>82</v>
      </c>
      <c r="IW4" s="10" t="s">
        <v>81</v>
      </c>
      <c r="IX4" s="10" t="s">
        <v>82</v>
      </c>
      <c r="IY4" s="10" t="s">
        <v>82</v>
      </c>
      <c r="IZ4" s="10" t="s">
        <v>81</v>
      </c>
      <c r="JA4" s="10" t="s">
        <v>82</v>
      </c>
      <c r="JB4" s="10" t="s">
        <v>81</v>
      </c>
      <c r="JC4" s="10" t="s">
        <v>82</v>
      </c>
      <c r="JD4" s="10" t="s">
        <v>81</v>
      </c>
      <c r="JE4" s="10" t="s">
        <v>82</v>
      </c>
      <c r="JF4" s="10" t="s">
        <v>81</v>
      </c>
      <c r="JG4" s="10" t="s">
        <v>82</v>
      </c>
      <c r="JH4" s="10" t="s">
        <v>81</v>
      </c>
      <c r="JI4" s="10" t="s">
        <v>82</v>
      </c>
      <c r="JJ4" s="10" t="s">
        <v>81</v>
      </c>
      <c r="JK4" s="10" t="s">
        <v>82</v>
      </c>
    </row>
    <row r="5" spans="1:271" ht="15" customHeight="1"/>
    <row r="6" spans="1:271" ht="15" customHeight="1" thickBot="1">
      <c r="B6" s="58">
        <v>1</v>
      </c>
      <c r="C6" s="58">
        <v>2</v>
      </c>
      <c r="D6" s="58">
        <v>3</v>
      </c>
      <c r="E6" s="58">
        <v>4</v>
      </c>
      <c r="F6" s="58">
        <v>5</v>
      </c>
      <c r="G6" s="58">
        <v>6</v>
      </c>
      <c r="H6" s="58">
        <v>7</v>
      </c>
      <c r="I6" s="58">
        <v>8</v>
      </c>
      <c r="J6" s="58">
        <v>9</v>
      </c>
      <c r="K6" s="58">
        <v>10</v>
      </c>
      <c r="L6" s="58">
        <v>11</v>
      </c>
      <c r="M6" s="58">
        <v>12</v>
      </c>
      <c r="N6" s="58">
        <v>13</v>
      </c>
      <c r="O6" s="58">
        <v>14</v>
      </c>
      <c r="P6" s="58">
        <v>15</v>
      </c>
      <c r="Q6" s="58">
        <v>1</v>
      </c>
      <c r="R6" s="58">
        <v>2</v>
      </c>
      <c r="S6" s="58">
        <v>3</v>
      </c>
      <c r="T6" s="58">
        <v>4</v>
      </c>
      <c r="U6" s="58">
        <v>5</v>
      </c>
      <c r="V6" s="58">
        <v>6</v>
      </c>
      <c r="W6" s="58">
        <v>7</v>
      </c>
      <c r="X6" s="58">
        <v>8</v>
      </c>
      <c r="Y6" s="58">
        <v>9</v>
      </c>
      <c r="Z6" s="58">
        <v>10</v>
      </c>
      <c r="AA6" s="58">
        <v>11</v>
      </c>
      <c r="AB6" s="58">
        <v>12</v>
      </c>
      <c r="AC6" s="58">
        <v>13</v>
      </c>
      <c r="AD6" s="58">
        <v>14</v>
      </c>
      <c r="AE6" s="58">
        <v>15</v>
      </c>
      <c r="AF6" s="58">
        <v>1</v>
      </c>
      <c r="AG6" s="58">
        <v>2</v>
      </c>
      <c r="AH6" s="58">
        <v>3</v>
      </c>
      <c r="AI6" s="58">
        <v>4</v>
      </c>
      <c r="AJ6" s="58">
        <v>5</v>
      </c>
      <c r="AK6" s="58">
        <v>6</v>
      </c>
      <c r="AL6" s="58">
        <v>7</v>
      </c>
      <c r="AM6" s="58">
        <v>8</v>
      </c>
      <c r="AN6" s="58">
        <v>9</v>
      </c>
      <c r="AO6" s="58">
        <v>10</v>
      </c>
      <c r="AP6" s="58">
        <v>11</v>
      </c>
      <c r="AQ6" s="58">
        <v>12</v>
      </c>
      <c r="AR6" s="58">
        <v>13</v>
      </c>
      <c r="AS6" s="58">
        <v>14</v>
      </c>
      <c r="AT6" s="58">
        <v>15</v>
      </c>
      <c r="AU6" s="58">
        <v>1</v>
      </c>
      <c r="AV6" s="58">
        <v>2</v>
      </c>
      <c r="AW6" s="58">
        <v>3</v>
      </c>
      <c r="AX6" s="58">
        <v>4</v>
      </c>
      <c r="AY6" s="58">
        <v>5</v>
      </c>
      <c r="AZ6" s="58">
        <v>6</v>
      </c>
      <c r="BA6" s="58">
        <v>7</v>
      </c>
      <c r="BB6" s="58">
        <v>8</v>
      </c>
      <c r="BC6" s="58">
        <v>9</v>
      </c>
      <c r="BD6" s="58">
        <v>10</v>
      </c>
      <c r="BE6" s="58">
        <v>11</v>
      </c>
      <c r="BF6" s="58">
        <v>12</v>
      </c>
      <c r="BG6" s="58">
        <v>13</v>
      </c>
      <c r="BH6" s="58">
        <v>14</v>
      </c>
      <c r="BI6" s="58">
        <v>15</v>
      </c>
      <c r="BJ6" s="58">
        <v>1</v>
      </c>
      <c r="BK6" s="58">
        <v>2</v>
      </c>
      <c r="BL6" s="58">
        <v>3</v>
      </c>
      <c r="BM6" s="58">
        <v>4</v>
      </c>
      <c r="BN6" s="58">
        <v>5</v>
      </c>
      <c r="BO6" s="58">
        <v>6</v>
      </c>
      <c r="BP6" s="58">
        <v>7</v>
      </c>
      <c r="BQ6" s="58">
        <v>8</v>
      </c>
      <c r="BR6" s="58">
        <v>9</v>
      </c>
      <c r="BS6" s="58">
        <v>10</v>
      </c>
      <c r="BT6" s="58">
        <v>11</v>
      </c>
      <c r="BU6" s="58">
        <v>12</v>
      </c>
      <c r="BV6" s="58">
        <v>13</v>
      </c>
      <c r="BW6" s="58">
        <v>14</v>
      </c>
      <c r="BX6" s="58">
        <v>15</v>
      </c>
      <c r="BY6" s="58">
        <v>1</v>
      </c>
      <c r="BZ6" s="58">
        <v>2</v>
      </c>
      <c r="CA6" s="58">
        <v>3</v>
      </c>
      <c r="CB6" s="58">
        <v>4</v>
      </c>
      <c r="CC6" s="58">
        <v>5</v>
      </c>
      <c r="CD6" s="58">
        <v>6</v>
      </c>
      <c r="CE6" s="58">
        <v>7</v>
      </c>
      <c r="CF6" s="58">
        <v>8</v>
      </c>
      <c r="CG6" s="58">
        <v>9</v>
      </c>
      <c r="CH6" s="58">
        <v>10</v>
      </c>
      <c r="CI6" s="58">
        <v>11</v>
      </c>
      <c r="CJ6" s="58">
        <v>12</v>
      </c>
      <c r="CK6" s="58">
        <v>13</v>
      </c>
      <c r="CL6" s="58">
        <v>14</v>
      </c>
      <c r="CM6" s="58">
        <v>15</v>
      </c>
      <c r="CN6" s="58">
        <v>1</v>
      </c>
      <c r="CO6" s="58">
        <v>2</v>
      </c>
      <c r="CP6" s="58">
        <v>3</v>
      </c>
      <c r="CQ6" s="58">
        <v>4</v>
      </c>
      <c r="CR6" s="58">
        <v>5</v>
      </c>
      <c r="CS6" s="58">
        <v>6</v>
      </c>
      <c r="CT6" s="58">
        <v>7</v>
      </c>
      <c r="CU6" s="58">
        <v>8</v>
      </c>
      <c r="CV6" s="58">
        <v>9</v>
      </c>
      <c r="CW6" s="58">
        <v>10</v>
      </c>
      <c r="CX6" s="58">
        <v>11</v>
      </c>
      <c r="CY6" s="58">
        <v>12</v>
      </c>
      <c r="CZ6" s="58">
        <v>13</v>
      </c>
      <c r="DA6" s="58">
        <v>14</v>
      </c>
      <c r="DB6" s="58">
        <v>15</v>
      </c>
      <c r="DC6" s="58">
        <v>1</v>
      </c>
      <c r="DD6" s="58">
        <v>2</v>
      </c>
      <c r="DE6" s="58">
        <v>3</v>
      </c>
      <c r="DF6" s="58">
        <v>4</v>
      </c>
      <c r="DG6" s="58">
        <v>5</v>
      </c>
      <c r="DH6" s="58">
        <v>6</v>
      </c>
      <c r="DI6" s="58">
        <v>7</v>
      </c>
      <c r="DJ6" s="58">
        <v>8</v>
      </c>
      <c r="DK6" s="58">
        <v>9</v>
      </c>
      <c r="DL6" s="58">
        <v>10</v>
      </c>
      <c r="DM6" s="58">
        <v>11</v>
      </c>
      <c r="DN6" s="58">
        <v>12</v>
      </c>
      <c r="DO6" s="58">
        <v>13</v>
      </c>
      <c r="DP6" s="58">
        <v>14</v>
      </c>
      <c r="DQ6" s="58">
        <v>15</v>
      </c>
      <c r="DR6" s="58">
        <v>1</v>
      </c>
      <c r="DS6" s="58">
        <v>2</v>
      </c>
      <c r="DT6" s="58">
        <v>3</v>
      </c>
      <c r="DU6" s="58">
        <v>4</v>
      </c>
      <c r="DV6" s="58">
        <v>5</v>
      </c>
      <c r="DW6" s="58">
        <v>6</v>
      </c>
      <c r="DX6" s="58">
        <v>7</v>
      </c>
      <c r="DY6" s="58">
        <v>8</v>
      </c>
      <c r="DZ6" s="58">
        <v>9</v>
      </c>
      <c r="EA6" s="58">
        <v>10</v>
      </c>
      <c r="EB6" s="58">
        <v>11</v>
      </c>
      <c r="EC6" s="58">
        <v>12</v>
      </c>
      <c r="ED6" s="58">
        <v>13</v>
      </c>
      <c r="EE6" s="58">
        <v>14</v>
      </c>
      <c r="EF6" s="58">
        <v>15</v>
      </c>
      <c r="EG6" s="58">
        <v>1</v>
      </c>
      <c r="EH6" s="58">
        <v>2</v>
      </c>
      <c r="EI6" s="58">
        <v>3</v>
      </c>
      <c r="EJ6" s="58">
        <v>4</v>
      </c>
      <c r="EK6" s="58">
        <v>5</v>
      </c>
      <c r="EL6" s="58">
        <v>6</v>
      </c>
      <c r="EM6" s="58">
        <v>7</v>
      </c>
      <c r="EN6" s="58">
        <v>8</v>
      </c>
      <c r="EO6" s="58">
        <v>9</v>
      </c>
      <c r="EP6" s="58">
        <v>10</v>
      </c>
      <c r="EQ6" s="58">
        <v>11</v>
      </c>
      <c r="ER6" s="58">
        <v>12</v>
      </c>
      <c r="ES6" s="58">
        <v>13</v>
      </c>
      <c r="ET6" s="58">
        <v>14</v>
      </c>
      <c r="EU6" s="58">
        <v>15</v>
      </c>
      <c r="EV6" s="58">
        <v>1</v>
      </c>
      <c r="EW6" s="58">
        <v>2</v>
      </c>
      <c r="EX6" s="58">
        <v>3</v>
      </c>
      <c r="EY6" s="58">
        <v>4</v>
      </c>
      <c r="EZ6" s="58">
        <v>5</v>
      </c>
      <c r="FA6" s="58">
        <v>6</v>
      </c>
      <c r="FB6" s="58">
        <v>7</v>
      </c>
      <c r="FC6" s="58">
        <v>8</v>
      </c>
      <c r="FD6" s="58">
        <v>9</v>
      </c>
      <c r="FE6" s="58">
        <v>10</v>
      </c>
      <c r="FF6" s="58">
        <v>11</v>
      </c>
      <c r="FG6" s="58">
        <v>12</v>
      </c>
      <c r="FH6" s="58">
        <v>13</v>
      </c>
      <c r="FI6" s="58">
        <v>14</v>
      </c>
      <c r="FJ6" s="58">
        <v>15</v>
      </c>
      <c r="FK6" s="58">
        <v>1</v>
      </c>
      <c r="FL6" s="58">
        <v>2</v>
      </c>
      <c r="FM6" s="58">
        <v>3</v>
      </c>
      <c r="FN6" s="58">
        <v>4</v>
      </c>
      <c r="FO6" s="58">
        <v>5</v>
      </c>
      <c r="FP6" s="58">
        <v>6</v>
      </c>
      <c r="FQ6" s="58">
        <v>7</v>
      </c>
      <c r="FR6" s="58">
        <v>8</v>
      </c>
      <c r="FS6" s="58">
        <v>9</v>
      </c>
      <c r="FT6" s="58">
        <v>10</v>
      </c>
      <c r="FU6" s="58">
        <v>11</v>
      </c>
      <c r="FV6" s="58">
        <v>12</v>
      </c>
      <c r="FW6" s="58">
        <v>13</v>
      </c>
      <c r="FX6" s="58">
        <v>14</v>
      </c>
      <c r="FY6" s="58">
        <v>15</v>
      </c>
      <c r="FZ6" s="58">
        <v>1</v>
      </c>
      <c r="GA6" s="58">
        <v>2</v>
      </c>
      <c r="GB6" s="58">
        <v>3</v>
      </c>
      <c r="GC6" s="58">
        <v>4</v>
      </c>
      <c r="GD6" s="58">
        <v>5</v>
      </c>
      <c r="GE6" s="58">
        <v>6</v>
      </c>
      <c r="GF6" s="58">
        <v>7</v>
      </c>
      <c r="GG6" s="58">
        <v>8</v>
      </c>
      <c r="GH6" s="58">
        <v>9</v>
      </c>
      <c r="GI6" s="58">
        <v>10</v>
      </c>
      <c r="GJ6" s="58">
        <v>11</v>
      </c>
      <c r="GK6" s="58">
        <v>12</v>
      </c>
      <c r="GL6" s="58">
        <v>13</v>
      </c>
      <c r="GM6" s="58">
        <v>14</v>
      </c>
      <c r="GN6" s="58">
        <v>15</v>
      </c>
      <c r="GO6" s="58">
        <v>1</v>
      </c>
      <c r="GP6" s="58">
        <v>2</v>
      </c>
      <c r="GQ6" s="58">
        <v>3</v>
      </c>
      <c r="GR6" s="58">
        <v>4</v>
      </c>
      <c r="GS6" s="58">
        <v>5</v>
      </c>
      <c r="GT6" s="58">
        <v>6</v>
      </c>
      <c r="GU6" s="58">
        <v>7</v>
      </c>
      <c r="GV6" s="58">
        <v>8</v>
      </c>
      <c r="GW6" s="58">
        <v>9</v>
      </c>
      <c r="GX6" s="58">
        <v>10</v>
      </c>
      <c r="GY6" s="58">
        <v>11</v>
      </c>
      <c r="GZ6" s="58">
        <v>12</v>
      </c>
      <c r="HA6" s="58">
        <v>13</v>
      </c>
      <c r="HB6" s="58">
        <v>14</v>
      </c>
      <c r="HC6" s="58">
        <v>15</v>
      </c>
      <c r="HD6" s="58">
        <v>1</v>
      </c>
      <c r="HE6" s="58">
        <v>2</v>
      </c>
      <c r="HF6" s="58">
        <v>3</v>
      </c>
      <c r="HG6" s="58">
        <v>4</v>
      </c>
      <c r="HH6" s="58">
        <v>5</v>
      </c>
      <c r="HI6" s="58">
        <v>6</v>
      </c>
      <c r="HJ6" s="58">
        <v>7</v>
      </c>
      <c r="HK6" s="58">
        <v>8</v>
      </c>
      <c r="HL6" s="58">
        <v>9</v>
      </c>
      <c r="HM6" s="58">
        <v>10</v>
      </c>
      <c r="HN6" s="58">
        <v>11</v>
      </c>
      <c r="HO6" s="58">
        <v>12</v>
      </c>
      <c r="HP6" s="58">
        <v>13</v>
      </c>
      <c r="HQ6" s="58">
        <v>14</v>
      </c>
      <c r="HR6" s="58">
        <v>15</v>
      </c>
      <c r="HS6" s="58">
        <v>1</v>
      </c>
      <c r="HT6" s="58">
        <v>2</v>
      </c>
      <c r="HU6" s="58">
        <v>3</v>
      </c>
      <c r="HV6" s="58">
        <v>4</v>
      </c>
      <c r="HW6" s="58">
        <v>5</v>
      </c>
      <c r="HX6" s="58">
        <v>6</v>
      </c>
      <c r="HY6" s="58">
        <v>7</v>
      </c>
      <c r="HZ6" s="58">
        <v>8</v>
      </c>
      <c r="IA6" s="58">
        <v>9</v>
      </c>
      <c r="IB6" s="58">
        <v>10</v>
      </c>
      <c r="IC6" s="58">
        <v>11</v>
      </c>
      <c r="ID6" s="58">
        <v>12</v>
      </c>
      <c r="IE6" s="58">
        <v>13</v>
      </c>
      <c r="IF6" s="58">
        <v>14</v>
      </c>
      <c r="IG6" s="58">
        <v>15</v>
      </c>
      <c r="IH6" s="58">
        <v>1</v>
      </c>
      <c r="II6" s="58">
        <v>2</v>
      </c>
      <c r="IJ6" s="58">
        <v>3</v>
      </c>
      <c r="IK6" s="58">
        <v>4</v>
      </c>
      <c r="IL6" s="58">
        <v>5</v>
      </c>
      <c r="IM6" s="58">
        <v>6</v>
      </c>
      <c r="IN6" s="58">
        <v>7</v>
      </c>
      <c r="IO6" s="58">
        <v>8</v>
      </c>
      <c r="IP6" s="58">
        <v>9</v>
      </c>
      <c r="IQ6" s="58">
        <v>10</v>
      </c>
      <c r="IR6" s="58">
        <v>11</v>
      </c>
      <c r="IS6" s="58">
        <v>12</v>
      </c>
      <c r="IT6" s="58">
        <v>13</v>
      </c>
      <c r="IU6" s="58">
        <v>14</v>
      </c>
      <c r="IV6" s="58">
        <v>15</v>
      </c>
      <c r="IW6" s="58">
        <v>1</v>
      </c>
      <c r="IX6" s="58">
        <v>2</v>
      </c>
      <c r="IY6" s="58">
        <v>3</v>
      </c>
      <c r="IZ6" s="58">
        <v>4</v>
      </c>
      <c r="JA6" s="58">
        <v>5</v>
      </c>
      <c r="JB6" s="58">
        <v>6</v>
      </c>
      <c r="JC6" s="58">
        <v>7</v>
      </c>
      <c r="JD6" s="58">
        <v>8</v>
      </c>
      <c r="JE6" s="58">
        <v>9</v>
      </c>
      <c r="JF6" s="58">
        <v>10</v>
      </c>
      <c r="JG6" s="58">
        <v>11</v>
      </c>
      <c r="JH6" s="58">
        <v>12</v>
      </c>
      <c r="JI6" s="58">
        <v>13</v>
      </c>
      <c r="JJ6" s="58">
        <v>14</v>
      </c>
      <c r="JK6" s="58">
        <v>15</v>
      </c>
    </row>
    <row r="7" spans="1:271" s="2" customFormat="1" ht="15" customHeight="1">
      <c r="A7" s="213" t="s">
        <v>122</v>
      </c>
      <c r="B7" s="214" t="s">
        <v>58</v>
      </c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5"/>
      <c r="N7" s="215"/>
      <c r="O7" s="216"/>
      <c r="P7" s="217"/>
      <c r="Q7" s="214" t="s">
        <v>59</v>
      </c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8"/>
      <c r="AF7" s="219" t="s">
        <v>60</v>
      </c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8"/>
      <c r="AU7" s="219" t="s">
        <v>61</v>
      </c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8"/>
      <c r="BJ7" s="219" t="s">
        <v>62</v>
      </c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8"/>
      <c r="BY7" s="220" t="s">
        <v>63</v>
      </c>
      <c r="BZ7" s="215"/>
      <c r="CA7" s="215"/>
      <c r="CB7" s="215"/>
      <c r="CC7" s="215"/>
      <c r="CD7" s="215"/>
      <c r="CE7" s="215"/>
      <c r="CF7" s="215"/>
      <c r="CG7" s="215"/>
      <c r="CH7" s="215"/>
      <c r="CI7" s="215"/>
      <c r="CJ7" s="215"/>
      <c r="CK7" s="215"/>
      <c r="CL7" s="215"/>
      <c r="CM7" s="215"/>
      <c r="CN7" s="219" t="s">
        <v>64</v>
      </c>
      <c r="CO7" s="215"/>
      <c r="CP7" s="215"/>
      <c r="CQ7" s="215"/>
      <c r="CR7" s="215"/>
      <c r="CS7" s="215"/>
      <c r="CT7" s="215"/>
      <c r="CU7" s="215"/>
      <c r="CV7" s="215"/>
      <c r="CW7" s="215"/>
      <c r="CX7" s="215"/>
      <c r="CY7" s="215"/>
      <c r="CZ7" s="215"/>
      <c r="DA7" s="215"/>
      <c r="DB7" s="218"/>
      <c r="DC7" s="220" t="s">
        <v>65</v>
      </c>
      <c r="DD7" s="215"/>
      <c r="DE7" s="215"/>
      <c r="DF7" s="215"/>
      <c r="DG7" s="215"/>
      <c r="DH7" s="215"/>
      <c r="DI7" s="215"/>
      <c r="DJ7" s="215"/>
      <c r="DK7" s="215"/>
      <c r="DL7" s="215"/>
      <c r="DM7" s="215"/>
      <c r="DN7" s="215"/>
      <c r="DO7" s="215"/>
      <c r="DP7" s="215"/>
      <c r="DQ7" s="215"/>
      <c r="DR7" s="219" t="s">
        <v>66</v>
      </c>
      <c r="DS7" s="215"/>
      <c r="DT7" s="215"/>
      <c r="DU7" s="215"/>
      <c r="DV7" s="215"/>
      <c r="DW7" s="215"/>
      <c r="DX7" s="215"/>
      <c r="DY7" s="215"/>
      <c r="DZ7" s="215"/>
      <c r="EA7" s="215"/>
      <c r="EB7" s="215"/>
      <c r="EC7" s="215"/>
      <c r="ED7" s="215"/>
      <c r="EE7" s="215"/>
      <c r="EF7" s="218"/>
      <c r="EG7" s="220" t="s">
        <v>67</v>
      </c>
      <c r="EH7" s="215"/>
      <c r="EI7" s="215"/>
      <c r="EJ7" s="215"/>
      <c r="EK7" s="215"/>
      <c r="EL7" s="215"/>
      <c r="EM7" s="215"/>
      <c r="EN7" s="215"/>
      <c r="EO7" s="215"/>
      <c r="EP7" s="215"/>
      <c r="EQ7" s="215"/>
      <c r="ER7" s="215"/>
      <c r="ES7" s="215"/>
      <c r="ET7" s="215"/>
      <c r="EU7" s="215"/>
      <c r="EV7" s="219" t="s">
        <v>68</v>
      </c>
      <c r="EW7" s="215"/>
      <c r="EX7" s="215"/>
      <c r="EY7" s="215"/>
      <c r="EZ7" s="215"/>
      <c r="FA7" s="215"/>
      <c r="FB7" s="215"/>
      <c r="FC7" s="215"/>
      <c r="FD7" s="215"/>
      <c r="FE7" s="215"/>
      <c r="FF7" s="215"/>
      <c r="FG7" s="215"/>
      <c r="FH7" s="215"/>
      <c r="FI7" s="215"/>
      <c r="FJ7" s="218"/>
      <c r="FK7" s="220" t="s">
        <v>69</v>
      </c>
      <c r="FL7" s="215"/>
      <c r="FM7" s="215"/>
      <c r="FN7" s="215"/>
      <c r="FO7" s="215"/>
      <c r="FP7" s="215"/>
      <c r="FQ7" s="215"/>
      <c r="FR7" s="215"/>
      <c r="FS7" s="215"/>
      <c r="FT7" s="215"/>
      <c r="FU7" s="215"/>
      <c r="FV7" s="215"/>
      <c r="FW7" s="215"/>
      <c r="FX7" s="215"/>
      <c r="FY7" s="215"/>
      <c r="FZ7" s="219" t="s">
        <v>70</v>
      </c>
      <c r="GA7" s="215"/>
      <c r="GB7" s="215"/>
      <c r="GC7" s="215"/>
      <c r="GD7" s="215"/>
      <c r="GE7" s="215"/>
      <c r="GF7" s="215"/>
      <c r="GG7" s="215"/>
      <c r="GH7" s="215"/>
      <c r="GI7" s="215"/>
      <c r="GJ7" s="215"/>
      <c r="GK7" s="215"/>
      <c r="GL7" s="215"/>
      <c r="GM7" s="215"/>
      <c r="GN7" s="218"/>
      <c r="GO7" s="220" t="s">
        <v>71</v>
      </c>
      <c r="GP7" s="215"/>
      <c r="GQ7" s="215"/>
      <c r="GR7" s="215"/>
      <c r="GS7" s="215"/>
      <c r="GT7" s="215"/>
      <c r="GU7" s="215"/>
      <c r="GV7" s="215"/>
      <c r="GW7" s="215"/>
      <c r="GX7" s="215"/>
      <c r="GY7" s="215"/>
      <c r="GZ7" s="215"/>
      <c r="HA7" s="215"/>
      <c r="HB7" s="215"/>
      <c r="HC7" s="215"/>
      <c r="HD7" s="219" t="s">
        <v>72</v>
      </c>
      <c r="HE7" s="215"/>
      <c r="HF7" s="215"/>
      <c r="HG7" s="215"/>
      <c r="HH7" s="215"/>
      <c r="HI7" s="215"/>
      <c r="HJ7" s="215"/>
      <c r="HK7" s="215"/>
      <c r="HL7" s="215"/>
      <c r="HM7" s="215"/>
      <c r="HN7" s="215"/>
      <c r="HO7" s="215"/>
      <c r="HP7" s="215"/>
      <c r="HQ7" s="215"/>
      <c r="HR7" s="218"/>
      <c r="HS7" s="220" t="s">
        <v>73</v>
      </c>
      <c r="HT7" s="215"/>
      <c r="HU7" s="215"/>
      <c r="HV7" s="215"/>
      <c r="HW7" s="215"/>
      <c r="HX7" s="215"/>
      <c r="HY7" s="215"/>
      <c r="HZ7" s="215"/>
      <c r="IA7" s="215"/>
      <c r="IB7" s="215"/>
      <c r="IC7" s="215"/>
      <c r="ID7" s="215"/>
      <c r="IE7" s="215"/>
      <c r="IF7" s="215"/>
      <c r="IG7" s="215"/>
      <c r="IH7" s="219" t="s">
        <v>74</v>
      </c>
      <c r="II7" s="215"/>
      <c r="IJ7" s="215"/>
      <c r="IK7" s="215"/>
      <c r="IL7" s="215"/>
      <c r="IM7" s="215"/>
      <c r="IN7" s="215"/>
      <c r="IO7" s="215"/>
      <c r="IP7" s="215"/>
      <c r="IQ7" s="215"/>
      <c r="IR7" s="215"/>
      <c r="IS7" s="215"/>
      <c r="IT7" s="215"/>
      <c r="IU7" s="215"/>
      <c r="IV7" s="218"/>
      <c r="IW7" s="220" t="s">
        <v>75</v>
      </c>
      <c r="IX7" s="215"/>
      <c r="IY7" s="215"/>
      <c r="IZ7" s="215"/>
      <c r="JA7" s="215"/>
      <c r="JB7" s="215"/>
      <c r="JC7" s="215"/>
      <c r="JD7" s="215"/>
      <c r="JE7" s="215"/>
      <c r="JF7" s="215"/>
      <c r="JG7" s="215"/>
      <c r="JH7" s="215"/>
      <c r="JI7" s="215"/>
      <c r="JJ7" s="215"/>
      <c r="JK7" s="218"/>
    </row>
    <row r="8" spans="1:271" ht="15" customHeight="1">
      <c r="A8" s="121">
        <v>10</v>
      </c>
      <c r="B8" s="122">
        <v>1.83</v>
      </c>
      <c r="C8" s="123">
        <v>11360</v>
      </c>
      <c r="D8" s="123">
        <v>0</v>
      </c>
      <c r="E8" s="124">
        <v>2.4470000000000001</v>
      </c>
      <c r="F8" s="124">
        <v>0.247</v>
      </c>
      <c r="G8" s="124">
        <v>2.4590000000000001</v>
      </c>
      <c r="H8" s="124">
        <v>0.35699999999999998</v>
      </c>
      <c r="I8" s="124">
        <v>2.464</v>
      </c>
      <c r="J8" s="124">
        <v>0.38900000000000001</v>
      </c>
      <c r="K8" s="124">
        <v>2.4430000000000001</v>
      </c>
      <c r="L8" s="124">
        <v>0.17799999999999999</v>
      </c>
      <c r="M8" s="124">
        <v>2.4609999999999999</v>
      </c>
      <c r="N8" s="124">
        <v>0.38100000000000001</v>
      </c>
      <c r="O8" s="124">
        <v>2.4420000000000002</v>
      </c>
      <c r="P8" s="125">
        <v>0.16200000000000001</v>
      </c>
      <c r="Q8" s="122">
        <v>0</v>
      </c>
      <c r="R8" s="123">
        <v>0</v>
      </c>
      <c r="S8" s="123">
        <v>0</v>
      </c>
      <c r="T8" s="124">
        <v>0</v>
      </c>
      <c r="U8" s="124">
        <v>0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>
        <v>0</v>
      </c>
      <c r="AD8" s="124">
        <v>0</v>
      </c>
      <c r="AE8" s="125">
        <v>0</v>
      </c>
      <c r="AF8" s="122">
        <v>0</v>
      </c>
      <c r="AG8" s="123">
        <v>0</v>
      </c>
      <c r="AH8" s="123">
        <v>0</v>
      </c>
      <c r="AI8" s="124">
        <v>0</v>
      </c>
      <c r="AJ8" s="124">
        <v>0</v>
      </c>
      <c r="AK8" s="124">
        <v>0</v>
      </c>
      <c r="AL8" s="124">
        <v>0</v>
      </c>
      <c r="AM8" s="124">
        <v>0</v>
      </c>
      <c r="AN8" s="124">
        <v>0</v>
      </c>
      <c r="AO8" s="124">
        <v>0</v>
      </c>
      <c r="AP8" s="124">
        <v>0</v>
      </c>
      <c r="AQ8" s="124">
        <v>0</v>
      </c>
      <c r="AR8" s="124">
        <v>0</v>
      </c>
      <c r="AS8" s="124">
        <v>0</v>
      </c>
      <c r="AT8" s="125">
        <v>0</v>
      </c>
      <c r="AU8" s="122">
        <v>0</v>
      </c>
      <c r="AV8" s="123">
        <v>0</v>
      </c>
      <c r="AW8" s="123">
        <v>0</v>
      </c>
      <c r="AX8" s="124">
        <v>0</v>
      </c>
      <c r="AY8" s="124">
        <v>0</v>
      </c>
      <c r="AZ8" s="124">
        <v>0</v>
      </c>
      <c r="BA8" s="124">
        <v>0</v>
      </c>
      <c r="BB8" s="124">
        <v>0</v>
      </c>
      <c r="BC8" s="124">
        <v>0</v>
      </c>
      <c r="BD8" s="124">
        <v>0</v>
      </c>
      <c r="BE8" s="124">
        <v>0</v>
      </c>
      <c r="BF8" s="124">
        <v>0</v>
      </c>
      <c r="BG8" s="124">
        <v>0</v>
      </c>
      <c r="BH8" s="124">
        <v>0</v>
      </c>
      <c r="BI8" s="125">
        <v>0</v>
      </c>
      <c r="BJ8" s="122">
        <v>0</v>
      </c>
      <c r="BK8" s="123">
        <v>0</v>
      </c>
      <c r="BL8" s="123">
        <v>0</v>
      </c>
      <c r="BM8" s="124">
        <v>0</v>
      </c>
      <c r="BN8" s="124">
        <v>0</v>
      </c>
      <c r="BO8" s="124">
        <v>0</v>
      </c>
      <c r="BP8" s="124">
        <v>0</v>
      </c>
      <c r="BQ8" s="124">
        <v>0</v>
      </c>
      <c r="BR8" s="124">
        <v>0</v>
      </c>
      <c r="BS8" s="124">
        <v>0</v>
      </c>
      <c r="BT8" s="124">
        <v>0</v>
      </c>
      <c r="BU8" s="124">
        <v>0</v>
      </c>
      <c r="BV8" s="124">
        <v>0</v>
      </c>
      <c r="BW8" s="124">
        <v>0</v>
      </c>
      <c r="BX8" s="125">
        <v>0</v>
      </c>
      <c r="BY8" s="124">
        <v>0</v>
      </c>
      <c r="BZ8" s="123">
        <v>0</v>
      </c>
      <c r="CA8" s="123">
        <v>0</v>
      </c>
      <c r="CB8" s="124">
        <v>0</v>
      </c>
      <c r="CC8" s="124">
        <v>0</v>
      </c>
      <c r="CD8" s="124">
        <v>0</v>
      </c>
      <c r="CE8" s="124">
        <v>0</v>
      </c>
      <c r="CF8" s="124">
        <v>0</v>
      </c>
      <c r="CG8" s="124">
        <v>0</v>
      </c>
      <c r="CH8" s="124">
        <v>0</v>
      </c>
      <c r="CI8" s="124">
        <v>0</v>
      </c>
      <c r="CJ8" s="124">
        <v>0</v>
      </c>
      <c r="CK8" s="124">
        <v>0</v>
      </c>
      <c r="CL8" s="124">
        <v>0</v>
      </c>
      <c r="CM8" s="124">
        <v>0</v>
      </c>
      <c r="CN8" s="122">
        <v>1.83</v>
      </c>
      <c r="CO8" s="123">
        <v>11360</v>
      </c>
      <c r="CP8" s="123">
        <v>0</v>
      </c>
      <c r="CQ8" s="124">
        <v>2.339</v>
      </c>
      <c r="CR8" s="124">
        <v>0.245</v>
      </c>
      <c r="CS8" s="124">
        <v>2.351</v>
      </c>
      <c r="CT8" s="124">
        <v>0.35699999999999998</v>
      </c>
      <c r="CU8" s="124">
        <v>2.3559999999999999</v>
      </c>
      <c r="CV8" s="124">
        <v>0.38900000000000001</v>
      </c>
      <c r="CW8" s="124">
        <v>2.335</v>
      </c>
      <c r="CX8" s="124">
        <v>0.17599999999999999</v>
      </c>
      <c r="CY8" s="124">
        <v>2.3530000000000002</v>
      </c>
      <c r="CZ8" s="124">
        <v>0.38100000000000001</v>
      </c>
      <c r="DA8" s="124">
        <v>2.3340000000000001</v>
      </c>
      <c r="DB8" s="125">
        <v>0.16200000000000001</v>
      </c>
      <c r="DC8" s="124">
        <v>0</v>
      </c>
      <c r="DD8" s="123">
        <v>0</v>
      </c>
      <c r="DE8" s="123">
        <v>0</v>
      </c>
      <c r="DF8" s="124">
        <v>0</v>
      </c>
      <c r="DG8" s="124">
        <v>0</v>
      </c>
      <c r="DH8" s="124">
        <v>0</v>
      </c>
      <c r="DI8" s="124">
        <v>0</v>
      </c>
      <c r="DJ8" s="124">
        <v>0</v>
      </c>
      <c r="DK8" s="124">
        <v>0</v>
      </c>
      <c r="DL8" s="124">
        <v>0</v>
      </c>
      <c r="DM8" s="124">
        <v>0</v>
      </c>
      <c r="DN8" s="124">
        <v>0</v>
      </c>
      <c r="DO8" s="124">
        <v>0</v>
      </c>
      <c r="DP8" s="124">
        <v>0</v>
      </c>
      <c r="DQ8" s="124">
        <v>0</v>
      </c>
      <c r="DR8" s="122">
        <v>0</v>
      </c>
      <c r="DS8" s="123">
        <v>0</v>
      </c>
      <c r="DT8" s="123">
        <v>0</v>
      </c>
      <c r="DU8" s="124">
        <v>0</v>
      </c>
      <c r="DV8" s="124">
        <v>0</v>
      </c>
      <c r="DW8" s="124">
        <v>0</v>
      </c>
      <c r="DX8" s="124">
        <v>0</v>
      </c>
      <c r="DY8" s="124">
        <v>0</v>
      </c>
      <c r="DZ8" s="124">
        <v>0</v>
      </c>
      <c r="EA8" s="124">
        <v>0</v>
      </c>
      <c r="EB8" s="124">
        <v>0</v>
      </c>
      <c r="EC8" s="124">
        <v>0</v>
      </c>
      <c r="ED8" s="124">
        <v>0</v>
      </c>
      <c r="EE8" s="124">
        <v>0</v>
      </c>
      <c r="EF8" s="125">
        <v>0</v>
      </c>
      <c r="EG8" s="124">
        <v>0</v>
      </c>
      <c r="EH8" s="123">
        <v>0</v>
      </c>
      <c r="EI8" s="123">
        <v>0</v>
      </c>
      <c r="EJ8" s="124">
        <v>0</v>
      </c>
      <c r="EK8" s="124">
        <v>0</v>
      </c>
      <c r="EL8" s="124">
        <v>0</v>
      </c>
      <c r="EM8" s="124">
        <v>0</v>
      </c>
      <c r="EN8" s="124">
        <v>0</v>
      </c>
      <c r="EO8" s="124">
        <v>0</v>
      </c>
      <c r="EP8" s="124">
        <v>0</v>
      </c>
      <c r="EQ8" s="124">
        <v>0</v>
      </c>
      <c r="ER8" s="124">
        <v>0</v>
      </c>
      <c r="ES8" s="124">
        <v>0</v>
      </c>
      <c r="ET8" s="124">
        <v>0</v>
      </c>
      <c r="EU8" s="124">
        <v>0</v>
      </c>
      <c r="EV8" s="122">
        <v>0</v>
      </c>
      <c r="EW8" s="123">
        <v>0</v>
      </c>
      <c r="EX8" s="123">
        <v>0</v>
      </c>
      <c r="EY8" s="124">
        <v>0</v>
      </c>
      <c r="EZ8" s="124">
        <v>0</v>
      </c>
      <c r="FA8" s="124">
        <v>0</v>
      </c>
      <c r="FB8" s="124">
        <v>0</v>
      </c>
      <c r="FC8" s="124">
        <v>0</v>
      </c>
      <c r="FD8" s="124">
        <v>0</v>
      </c>
      <c r="FE8" s="124">
        <v>0</v>
      </c>
      <c r="FF8" s="124">
        <v>0</v>
      </c>
      <c r="FG8" s="124">
        <v>0</v>
      </c>
      <c r="FH8" s="124">
        <v>0</v>
      </c>
      <c r="FI8" s="124">
        <v>0</v>
      </c>
      <c r="FJ8" s="125">
        <v>0</v>
      </c>
      <c r="FK8" s="124">
        <v>0</v>
      </c>
      <c r="FL8" s="123">
        <v>0</v>
      </c>
      <c r="FM8" s="123">
        <v>0</v>
      </c>
      <c r="FN8" s="124">
        <v>0</v>
      </c>
      <c r="FO8" s="124">
        <v>0</v>
      </c>
      <c r="FP8" s="124">
        <v>0</v>
      </c>
      <c r="FQ8" s="124">
        <v>0</v>
      </c>
      <c r="FR8" s="124">
        <v>0</v>
      </c>
      <c r="FS8" s="124">
        <v>0</v>
      </c>
      <c r="FT8" s="124">
        <v>0</v>
      </c>
      <c r="FU8" s="124">
        <v>0</v>
      </c>
      <c r="FV8" s="124">
        <v>0</v>
      </c>
      <c r="FW8" s="124">
        <v>0</v>
      </c>
      <c r="FX8" s="124">
        <v>0</v>
      </c>
      <c r="FY8" s="124">
        <v>0</v>
      </c>
      <c r="FZ8" s="122">
        <v>0</v>
      </c>
      <c r="GA8" s="123">
        <v>0</v>
      </c>
      <c r="GB8" s="123">
        <v>0</v>
      </c>
      <c r="GC8" s="124">
        <v>0</v>
      </c>
      <c r="GD8" s="124">
        <v>0</v>
      </c>
      <c r="GE8" s="124">
        <v>0</v>
      </c>
      <c r="GF8" s="124">
        <v>0</v>
      </c>
      <c r="GG8" s="124">
        <v>0</v>
      </c>
      <c r="GH8" s="124">
        <v>0</v>
      </c>
      <c r="GI8" s="124">
        <v>0</v>
      </c>
      <c r="GJ8" s="124">
        <v>0</v>
      </c>
      <c r="GK8" s="124">
        <v>0</v>
      </c>
      <c r="GL8" s="124">
        <v>0</v>
      </c>
      <c r="GM8" s="124">
        <v>0</v>
      </c>
      <c r="GN8" s="125">
        <v>0</v>
      </c>
      <c r="GO8" s="124">
        <v>0</v>
      </c>
      <c r="GP8" s="123">
        <v>0</v>
      </c>
      <c r="GQ8" s="123">
        <v>0</v>
      </c>
      <c r="GR8" s="124">
        <v>0</v>
      </c>
      <c r="GS8" s="124">
        <v>0</v>
      </c>
      <c r="GT8" s="124">
        <v>0</v>
      </c>
      <c r="GU8" s="124">
        <v>0</v>
      </c>
      <c r="GV8" s="124">
        <v>0</v>
      </c>
      <c r="GW8" s="124">
        <v>0</v>
      </c>
      <c r="GX8" s="124">
        <v>0</v>
      </c>
      <c r="GY8" s="124">
        <v>0</v>
      </c>
      <c r="GZ8" s="124">
        <v>0</v>
      </c>
      <c r="HA8" s="124">
        <v>0</v>
      </c>
      <c r="HB8" s="124">
        <v>0</v>
      </c>
      <c r="HC8" s="124">
        <v>0</v>
      </c>
      <c r="HD8" s="122">
        <v>0</v>
      </c>
      <c r="HE8" s="123">
        <v>0</v>
      </c>
      <c r="HF8" s="123">
        <v>0</v>
      </c>
      <c r="HG8" s="124">
        <v>0</v>
      </c>
      <c r="HH8" s="124">
        <v>0</v>
      </c>
      <c r="HI8" s="124">
        <v>0</v>
      </c>
      <c r="HJ8" s="124">
        <v>0</v>
      </c>
      <c r="HK8" s="124">
        <v>0</v>
      </c>
      <c r="HL8" s="124">
        <v>0</v>
      </c>
      <c r="HM8" s="124">
        <v>0</v>
      </c>
      <c r="HN8" s="124">
        <v>0</v>
      </c>
      <c r="HO8" s="124">
        <v>0</v>
      </c>
      <c r="HP8" s="124">
        <v>0</v>
      </c>
      <c r="HQ8" s="124">
        <v>0</v>
      </c>
      <c r="HR8" s="125">
        <v>0</v>
      </c>
      <c r="HS8" s="124">
        <v>0</v>
      </c>
      <c r="HT8" s="123">
        <v>0</v>
      </c>
      <c r="HU8" s="123">
        <v>0</v>
      </c>
      <c r="HV8" s="124">
        <v>0</v>
      </c>
      <c r="HW8" s="124">
        <v>0</v>
      </c>
      <c r="HX8" s="124">
        <v>0</v>
      </c>
      <c r="HY8" s="124">
        <v>0</v>
      </c>
      <c r="HZ8" s="124">
        <v>0</v>
      </c>
      <c r="IA8" s="124">
        <v>0</v>
      </c>
      <c r="IB8" s="124">
        <v>0</v>
      </c>
      <c r="IC8" s="124">
        <v>0</v>
      </c>
      <c r="ID8" s="124">
        <v>0</v>
      </c>
      <c r="IE8" s="124">
        <v>0</v>
      </c>
      <c r="IF8" s="124">
        <v>0</v>
      </c>
      <c r="IG8" s="124">
        <v>0</v>
      </c>
      <c r="IH8" s="122">
        <v>0</v>
      </c>
      <c r="II8" s="123">
        <v>0</v>
      </c>
      <c r="IJ8" s="123">
        <v>0</v>
      </c>
      <c r="IK8" s="124">
        <v>0</v>
      </c>
      <c r="IL8" s="124">
        <v>0</v>
      </c>
      <c r="IM8" s="124">
        <v>0</v>
      </c>
      <c r="IN8" s="124">
        <v>0</v>
      </c>
      <c r="IO8" s="124">
        <v>0</v>
      </c>
      <c r="IP8" s="124">
        <v>0</v>
      </c>
      <c r="IQ8" s="124">
        <v>0</v>
      </c>
      <c r="IR8" s="124">
        <v>0</v>
      </c>
      <c r="IS8" s="124">
        <v>0</v>
      </c>
      <c r="IT8" s="124">
        <v>0</v>
      </c>
      <c r="IU8" s="124">
        <v>0</v>
      </c>
      <c r="IV8" s="125">
        <v>0</v>
      </c>
      <c r="IW8" s="124">
        <v>0</v>
      </c>
      <c r="IX8" s="123">
        <v>0</v>
      </c>
      <c r="IY8" s="123">
        <v>0</v>
      </c>
      <c r="IZ8" s="124">
        <v>0</v>
      </c>
      <c r="JA8" s="124">
        <v>0</v>
      </c>
      <c r="JB8" s="124">
        <v>0</v>
      </c>
      <c r="JC8" s="124">
        <v>0</v>
      </c>
      <c r="JD8" s="124">
        <v>0</v>
      </c>
      <c r="JE8" s="124">
        <v>0</v>
      </c>
      <c r="JF8" s="124">
        <v>0</v>
      </c>
      <c r="JG8" s="124">
        <v>0</v>
      </c>
      <c r="JH8" s="124">
        <v>0</v>
      </c>
      <c r="JI8" s="124">
        <v>0</v>
      </c>
      <c r="JJ8" s="124">
        <v>0</v>
      </c>
      <c r="JK8" s="125">
        <v>0</v>
      </c>
    </row>
    <row r="9" spans="1:271" ht="15" customHeight="1">
      <c r="A9" s="121">
        <v>16</v>
      </c>
      <c r="B9" s="122">
        <v>1.1499999999999999</v>
      </c>
      <c r="C9" s="123">
        <v>10023</v>
      </c>
      <c r="D9" s="123">
        <v>0</v>
      </c>
      <c r="E9" s="124">
        <v>1.54</v>
      </c>
      <c r="F9" s="124">
        <v>0.23499999999999999</v>
      </c>
      <c r="G9" s="124">
        <v>1.5509999999999999</v>
      </c>
      <c r="H9" s="124">
        <v>0.34100000000000003</v>
      </c>
      <c r="I9" s="124">
        <v>1.556</v>
      </c>
      <c r="J9" s="124">
        <v>0.373</v>
      </c>
      <c r="K9" s="124">
        <v>1.536</v>
      </c>
      <c r="L9" s="124">
        <v>0.16500000000000001</v>
      </c>
      <c r="M9" s="124">
        <v>1.5529999999999999</v>
      </c>
      <c r="N9" s="124">
        <v>0.36399999999999999</v>
      </c>
      <c r="O9" s="124">
        <v>1.534</v>
      </c>
      <c r="P9" s="125">
        <v>0.15</v>
      </c>
      <c r="Q9" s="122">
        <v>1.1499999999999999</v>
      </c>
      <c r="R9" s="123">
        <v>10023</v>
      </c>
      <c r="S9" s="123">
        <v>0</v>
      </c>
      <c r="T9" s="124">
        <v>1.54</v>
      </c>
      <c r="U9" s="124">
        <v>0.23499999999999999</v>
      </c>
      <c r="V9" s="124">
        <v>1.5509999999999999</v>
      </c>
      <c r="W9" s="124">
        <v>0.34100000000000003</v>
      </c>
      <c r="X9" s="124">
        <v>1.556</v>
      </c>
      <c r="Y9" s="124">
        <v>0.373</v>
      </c>
      <c r="Z9" s="124">
        <v>1.536</v>
      </c>
      <c r="AA9" s="124">
        <v>0.16500000000000001</v>
      </c>
      <c r="AB9" s="124">
        <v>1.5529999999999999</v>
      </c>
      <c r="AC9" s="124">
        <v>0.36399999999999999</v>
      </c>
      <c r="AD9" s="124">
        <v>1.534</v>
      </c>
      <c r="AE9" s="125">
        <v>0.15</v>
      </c>
      <c r="AF9" s="122">
        <v>1.1499999999999999</v>
      </c>
      <c r="AG9" s="123">
        <v>12750</v>
      </c>
      <c r="AH9" s="123">
        <v>0</v>
      </c>
      <c r="AI9" s="124">
        <v>1.54</v>
      </c>
      <c r="AJ9" s="124">
        <v>0.24399999999999999</v>
      </c>
      <c r="AK9" s="124">
        <v>1.55</v>
      </c>
      <c r="AL9" s="124">
        <v>0.34100000000000003</v>
      </c>
      <c r="AM9" s="124">
        <v>1.554</v>
      </c>
      <c r="AN9" s="124">
        <v>0.373</v>
      </c>
      <c r="AO9" s="124">
        <v>1.536</v>
      </c>
      <c r="AP9" s="124">
        <v>0.17399999999999999</v>
      </c>
      <c r="AQ9" s="124">
        <v>1.552</v>
      </c>
      <c r="AR9" s="124">
        <v>0.36399999999999999</v>
      </c>
      <c r="AS9" s="124">
        <v>1.534</v>
      </c>
      <c r="AT9" s="125">
        <v>0.161</v>
      </c>
      <c r="AU9" s="122">
        <v>1.1499999999999999</v>
      </c>
      <c r="AV9" s="123">
        <v>16526</v>
      </c>
      <c r="AW9" s="123">
        <v>0</v>
      </c>
      <c r="AX9" s="124">
        <v>1.54</v>
      </c>
      <c r="AY9" s="124">
        <v>0.25700000000000001</v>
      </c>
      <c r="AZ9" s="124">
        <v>1.548</v>
      </c>
      <c r="BA9" s="124">
        <v>0.34100000000000003</v>
      </c>
      <c r="BB9" s="124">
        <v>1.552</v>
      </c>
      <c r="BC9" s="124">
        <v>0.373</v>
      </c>
      <c r="BD9" s="124">
        <v>1.5349999999999999</v>
      </c>
      <c r="BE9" s="124">
        <v>0.187</v>
      </c>
      <c r="BF9" s="124">
        <v>1.5489999999999999</v>
      </c>
      <c r="BG9" s="124">
        <v>0.36399999999999999</v>
      </c>
      <c r="BH9" s="124">
        <v>1.534</v>
      </c>
      <c r="BI9" s="125">
        <v>0.17699999999999999</v>
      </c>
      <c r="BJ9" s="122">
        <v>0</v>
      </c>
      <c r="BK9" s="123">
        <v>0</v>
      </c>
      <c r="BL9" s="123">
        <v>0</v>
      </c>
      <c r="BM9" s="124">
        <v>0</v>
      </c>
      <c r="BN9" s="124">
        <v>0</v>
      </c>
      <c r="BO9" s="124">
        <v>0</v>
      </c>
      <c r="BP9" s="124">
        <v>0</v>
      </c>
      <c r="BQ9" s="124">
        <v>0</v>
      </c>
      <c r="BR9" s="124">
        <v>0</v>
      </c>
      <c r="BS9" s="124">
        <v>0</v>
      </c>
      <c r="BT9" s="124">
        <v>0</v>
      </c>
      <c r="BU9" s="124">
        <v>0</v>
      </c>
      <c r="BV9" s="124">
        <v>0</v>
      </c>
      <c r="BW9" s="124">
        <v>0</v>
      </c>
      <c r="BX9" s="125">
        <v>0</v>
      </c>
      <c r="BY9" s="124">
        <v>0</v>
      </c>
      <c r="BZ9" s="123">
        <v>0</v>
      </c>
      <c r="CA9" s="123">
        <v>0</v>
      </c>
      <c r="CB9" s="124">
        <v>0</v>
      </c>
      <c r="CC9" s="124">
        <v>0</v>
      </c>
      <c r="CD9" s="124">
        <v>0</v>
      </c>
      <c r="CE9" s="124">
        <v>0</v>
      </c>
      <c r="CF9" s="124">
        <v>0</v>
      </c>
      <c r="CG9" s="124">
        <v>0</v>
      </c>
      <c r="CH9" s="124">
        <v>0</v>
      </c>
      <c r="CI9" s="124">
        <v>0</v>
      </c>
      <c r="CJ9" s="124">
        <v>0</v>
      </c>
      <c r="CK9" s="124">
        <v>0</v>
      </c>
      <c r="CL9" s="124">
        <v>0</v>
      </c>
      <c r="CM9" s="124">
        <v>0</v>
      </c>
      <c r="CN9" s="122">
        <v>1.1499999999999999</v>
      </c>
      <c r="CO9" s="123">
        <v>10023</v>
      </c>
      <c r="CP9" s="123">
        <v>0</v>
      </c>
      <c r="CQ9" s="124">
        <v>1.472</v>
      </c>
      <c r="CR9" s="124">
        <v>0.23400000000000001</v>
      </c>
      <c r="CS9" s="124">
        <v>1.484</v>
      </c>
      <c r="CT9" s="124">
        <v>0.34100000000000003</v>
      </c>
      <c r="CU9" s="124">
        <v>1.488</v>
      </c>
      <c r="CV9" s="124">
        <v>0.373</v>
      </c>
      <c r="CW9" s="124">
        <v>1.468</v>
      </c>
      <c r="CX9" s="124">
        <v>0.16400000000000001</v>
      </c>
      <c r="CY9" s="124">
        <v>1.4850000000000001</v>
      </c>
      <c r="CZ9" s="124">
        <v>0.36399999999999999</v>
      </c>
      <c r="DA9" s="124">
        <v>1.4670000000000001</v>
      </c>
      <c r="DB9" s="125">
        <v>0.15</v>
      </c>
      <c r="DC9" s="124">
        <v>1.1499999999999999</v>
      </c>
      <c r="DD9" s="123">
        <v>10023</v>
      </c>
      <c r="DE9" s="123">
        <v>0</v>
      </c>
      <c r="DF9" s="124">
        <v>1.472</v>
      </c>
      <c r="DG9" s="124">
        <v>0.23400000000000001</v>
      </c>
      <c r="DH9" s="124">
        <v>1.484</v>
      </c>
      <c r="DI9" s="124">
        <v>0.34100000000000003</v>
      </c>
      <c r="DJ9" s="124">
        <v>1.488</v>
      </c>
      <c r="DK9" s="124">
        <v>0.373</v>
      </c>
      <c r="DL9" s="124">
        <v>1.468</v>
      </c>
      <c r="DM9" s="124">
        <v>0.16400000000000001</v>
      </c>
      <c r="DN9" s="124">
        <v>1.4850000000000001</v>
      </c>
      <c r="DO9" s="124">
        <v>0.36399999999999999</v>
      </c>
      <c r="DP9" s="124">
        <v>1.4670000000000001</v>
      </c>
      <c r="DQ9" s="124">
        <v>0.15</v>
      </c>
      <c r="DR9" s="122">
        <v>1.1499999999999999</v>
      </c>
      <c r="DS9" s="123">
        <v>12750</v>
      </c>
      <c r="DT9" s="123">
        <v>0</v>
      </c>
      <c r="DU9" s="124">
        <v>1.472</v>
      </c>
      <c r="DV9" s="124">
        <v>0.24299999999999999</v>
      </c>
      <c r="DW9" s="124">
        <v>1.482</v>
      </c>
      <c r="DX9" s="124">
        <v>0.34100000000000003</v>
      </c>
      <c r="DY9" s="124">
        <v>1.4870000000000001</v>
      </c>
      <c r="DZ9" s="124">
        <v>0.373</v>
      </c>
      <c r="EA9" s="124">
        <v>1.468</v>
      </c>
      <c r="EB9" s="124">
        <v>0.17299999999999999</v>
      </c>
      <c r="EC9" s="124">
        <v>1.484</v>
      </c>
      <c r="ED9" s="124">
        <v>0.36399999999999999</v>
      </c>
      <c r="EE9" s="124">
        <v>1.4670000000000001</v>
      </c>
      <c r="EF9" s="125">
        <v>0.161</v>
      </c>
      <c r="EG9" s="124">
        <v>1.1499999999999999</v>
      </c>
      <c r="EH9" s="123">
        <v>16526</v>
      </c>
      <c r="EI9" s="123">
        <v>0</v>
      </c>
      <c r="EJ9" s="124">
        <v>1.472</v>
      </c>
      <c r="EK9" s="124">
        <v>0.25700000000000001</v>
      </c>
      <c r="EL9" s="124">
        <v>1.48</v>
      </c>
      <c r="EM9" s="124">
        <v>0.34100000000000003</v>
      </c>
      <c r="EN9" s="124">
        <v>1.484</v>
      </c>
      <c r="EO9" s="124">
        <v>0.373</v>
      </c>
      <c r="EP9" s="124">
        <v>1.4670000000000001</v>
      </c>
      <c r="EQ9" s="124">
        <v>0.187</v>
      </c>
      <c r="ER9" s="124">
        <v>1.482</v>
      </c>
      <c r="ES9" s="124">
        <v>0.36399999999999999</v>
      </c>
      <c r="ET9" s="124">
        <v>1.4670000000000001</v>
      </c>
      <c r="EU9" s="124">
        <v>0.17699999999999999</v>
      </c>
      <c r="EV9" s="122">
        <v>0</v>
      </c>
      <c r="EW9" s="123">
        <v>0</v>
      </c>
      <c r="EX9" s="123">
        <v>0</v>
      </c>
      <c r="EY9" s="124">
        <v>0</v>
      </c>
      <c r="EZ9" s="124">
        <v>0</v>
      </c>
      <c r="FA9" s="124">
        <v>0</v>
      </c>
      <c r="FB9" s="124">
        <v>0</v>
      </c>
      <c r="FC9" s="124">
        <v>0</v>
      </c>
      <c r="FD9" s="124">
        <v>0</v>
      </c>
      <c r="FE9" s="124">
        <v>0</v>
      </c>
      <c r="FF9" s="124">
        <v>0</v>
      </c>
      <c r="FG9" s="124">
        <v>0</v>
      </c>
      <c r="FH9" s="124">
        <v>0</v>
      </c>
      <c r="FI9" s="124">
        <v>0</v>
      </c>
      <c r="FJ9" s="125">
        <v>0</v>
      </c>
      <c r="FK9" s="124">
        <v>0</v>
      </c>
      <c r="FL9" s="123">
        <v>0</v>
      </c>
      <c r="FM9" s="123">
        <v>0</v>
      </c>
      <c r="FN9" s="124">
        <v>0</v>
      </c>
      <c r="FO9" s="124">
        <v>0</v>
      </c>
      <c r="FP9" s="124">
        <v>0</v>
      </c>
      <c r="FQ9" s="124">
        <v>0</v>
      </c>
      <c r="FR9" s="124">
        <v>0</v>
      </c>
      <c r="FS9" s="124">
        <v>0</v>
      </c>
      <c r="FT9" s="124">
        <v>0</v>
      </c>
      <c r="FU9" s="124">
        <v>0</v>
      </c>
      <c r="FV9" s="124">
        <v>0</v>
      </c>
      <c r="FW9" s="124">
        <v>0</v>
      </c>
      <c r="FX9" s="124">
        <v>0</v>
      </c>
      <c r="FY9" s="124">
        <v>0</v>
      </c>
      <c r="FZ9" s="122">
        <v>1.1499999999999999</v>
      </c>
      <c r="GA9" s="123">
        <v>12215</v>
      </c>
      <c r="GB9" s="123">
        <v>13809</v>
      </c>
      <c r="GC9" s="124">
        <v>1.47</v>
      </c>
      <c r="GD9" s="124">
        <v>0.24</v>
      </c>
      <c r="GE9" s="124">
        <v>1.48</v>
      </c>
      <c r="GF9" s="124">
        <v>0.33700000000000002</v>
      </c>
      <c r="GG9" s="124">
        <v>1.48</v>
      </c>
      <c r="GH9" s="124">
        <v>0.36899999999999999</v>
      </c>
      <c r="GI9" s="124">
        <v>1.47</v>
      </c>
      <c r="GJ9" s="124">
        <v>0.17100000000000001</v>
      </c>
      <c r="GK9" s="124">
        <v>1.48</v>
      </c>
      <c r="GL9" s="124">
        <v>0.36099999999999999</v>
      </c>
      <c r="GM9" s="124">
        <v>1.47</v>
      </c>
      <c r="GN9" s="125">
        <v>0.158</v>
      </c>
      <c r="GO9" s="124">
        <v>1.1499999999999999</v>
      </c>
      <c r="GP9" s="123">
        <v>13368</v>
      </c>
      <c r="GQ9" s="123">
        <v>15112</v>
      </c>
      <c r="GR9" s="124">
        <v>1.47</v>
      </c>
      <c r="GS9" s="124">
        <v>0.24399999999999999</v>
      </c>
      <c r="GT9" s="124">
        <v>1.48</v>
      </c>
      <c r="GU9" s="124">
        <v>0.33700000000000002</v>
      </c>
      <c r="GV9" s="124">
        <v>1.48</v>
      </c>
      <c r="GW9" s="124">
        <v>0.36899999999999999</v>
      </c>
      <c r="GX9" s="124">
        <v>1.47</v>
      </c>
      <c r="GY9" s="124">
        <v>0.17399999999999999</v>
      </c>
      <c r="GZ9" s="124">
        <v>1.48</v>
      </c>
      <c r="HA9" s="124">
        <v>0.36099999999999999</v>
      </c>
      <c r="HB9" s="124">
        <v>1.47</v>
      </c>
      <c r="HC9" s="124">
        <v>0.16200000000000001</v>
      </c>
      <c r="HD9" s="122">
        <v>0</v>
      </c>
      <c r="HE9" s="123">
        <v>0</v>
      </c>
      <c r="HF9" s="123">
        <v>0</v>
      </c>
      <c r="HG9" s="124">
        <v>0</v>
      </c>
      <c r="HH9" s="124">
        <v>0</v>
      </c>
      <c r="HI9" s="124">
        <v>0</v>
      </c>
      <c r="HJ9" s="124">
        <v>0</v>
      </c>
      <c r="HK9" s="124">
        <v>0</v>
      </c>
      <c r="HL9" s="124">
        <v>0</v>
      </c>
      <c r="HM9" s="124">
        <v>0</v>
      </c>
      <c r="HN9" s="124">
        <v>0</v>
      </c>
      <c r="HO9" s="124">
        <v>0</v>
      </c>
      <c r="HP9" s="124">
        <v>0</v>
      </c>
      <c r="HQ9" s="124">
        <v>0</v>
      </c>
      <c r="HR9" s="125">
        <v>0</v>
      </c>
      <c r="HS9" s="124">
        <v>0</v>
      </c>
      <c r="HT9" s="123">
        <v>0</v>
      </c>
      <c r="HU9" s="123">
        <v>0</v>
      </c>
      <c r="HV9" s="124">
        <v>0</v>
      </c>
      <c r="HW9" s="124">
        <v>0</v>
      </c>
      <c r="HX9" s="124">
        <v>0</v>
      </c>
      <c r="HY9" s="124">
        <v>0</v>
      </c>
      <c r="HZ9" s="124">
        <v>0</v>
      </c>
      <c r="IA9" s="124">
        <v>0</v>
      </c>
      <c r="IB9" s="124">
        <v>0</v>
      </c>
      <c r="IC9" s="124">
        <v>0</v>
      </c>
      <c r="ID9" s="124">
        <v>0</v>
      </c>
      <c r="IE9" s="124">
        <v>0</v>
      </c>
      <c r="IF9" s="124">
        <v>0</v>
      </c>
      <c r="IG9" s="124">
        <v>0</v>
      </c>
      <c r="IH9" s="122">
        <v>0</v>
      </c>
      <c r="II9" s="123">
        <v>0</v>
      </c>
      <c r="IJ9" s="123">
        <v>0</v>
      </c>
      <c r="IK9" s="124">
        <v>0</v>
      </c>
      <c r="IL9" s="124">
        <v>0</v>
      </c>
      <c r="IM9" s="124">
        <v>0</v>
      </c>
      <c r="IN9" s="124">
        <v>0</v>
      </c>
      <c r="IO9" s="124">
        <v>0</v>
      </c>
      <c r="IP9" s="124">
        <v>0</v>
      </c>
      <c r="IQ9" s="124">
        <v>0</v>
      </c>
      <c r="IR9" s="124">
        <v>0</v>
      </c>
      <c r="IS9" s="124">
        <v>0</v>
      </c>
      <c r="IT9" s="124">
        <v>0</v>
      </c>
      <c r="IU9" s="124">
        <v>0</v>
      </c>
      <c r="IV9" s="125">
        <v>0</v>
      </c>
      <c r="IW9" s="124">
        <v>0</v>
      </c>
      <c r="IX9" s="123">
        <v>0</v>
      </c>
      <c r="IY9" s="123">
        <v>0</v>
      </c>
      <c r="IZ9" s="124">
        <v>0</v>
      </c>
      <c r="JA9" s="124">
        <v>0</v>
      </c>
      <c r="JB9" s="124">
        <v>0</v>
      </c>
      <c r="JC9" s="124">
        <v>0</v>
      </c>
      <c r="JD9" s="124">
        <v>0</v>
      </c>
      <c r="JE9" s="124">
        <v>0</v>
      </c>
      <c r="JF9" s="124">
        <v>0</v>
      </c>
      <c r="JG9" s="124">
        <v>0</v>
      </c>
      <c r="JH9" s="124">
        <v>0</v>
      </c>
      <c r="JI9" s="124">
        <v>0</v>
      </c>
      <c r="JJ9" s="124">
        <v>0</v>
      </c>
      <c r="JK9" s="125">
        <v>0</v>
      </c>
    </row>
    <row r="10" spans="1:271" ht="15" customHeight="1">
      <c r="A10" s="121">
        <v>25</v>
      </c>
      <c r="B10" s="122">
        <v>0.72699999999999998</v>
      </c>
      <c r="C10" s="123">
        <v>8772</v>
      </c>
      <c r="D10" s="123">
        <v>0</v>
      </c>
      <c r="E10" s="124">
        <v>0.97599999999999998</v>
      </c>
      <c r="F10" s="124">
        <v>0.223</v>
      </c>
      <c r="G10" s="124">
        <v>0.98599999999999999</v>
      </c>
      <c r="H10" s="124">
        <v>0.32400000000000001</v>
      </c>
      <c r="I10" s="124">
        <v>0.99099999999999999</v>
      </c>
      <c r="J10" s="124">
        <v>0.35599999999999998</v>
      </c>
      <c r="K10" s="124">
        <v>0.97099999999999997</v>
      </c>
      <c r="L10" s="124">
        <v>0.154</v>
      </c>
      <c r="M10" s="124">
        <v>0.98799999999999999</v>
      </c>
      <c r="N10" s="124">
        <v>0.34799999999999998</v>
      </c>
      <c r="O10" s="124">
        <v>0.97</v>
      </c>
      <c r="P10" s="125">
        <v>0.14000000000000001</v>
      </c>
      <c r="Q10" s="122">
        <v>0.72699999999999998</v>
      </c>
      <c r="R10" s="123">
        <v>8772</v>
      </c>
      <c r="S10" s="123">
        <v>0</v>
      </c>
      <c r="T10" s="124">
        <v>0.97599999999999998</v>
      </c>
      <c r="U10" s="124">
        <v>0.223</v>
      </c>
      <c r="V10" s="124">
        <v>0.98599999999999999</v>
      </c>
      <c r="W10" s="124">
        <v>0.32400000000000001</v>
      </c>
      <c r="X10" s="124">
        <v>0.99099999999999999</v>
      </c>
      <c r="Y10" s="124">
        <v>0.35599999999999998</v>
      </c>
      <c r="Z10" s="124">
        <v>0.97099999999999997</v>
      </c>
      <c r="AA10" s="124">
        <v>0.154</v>
      </c>
      <c r="AB10" s="124">
        <v>0.98799999999999999</v>
      </c>
      <c r="AC10" s="124">
        <v>0.34799999999999998</v>
      </c>
      <c r="AD10" s="124">
        <v>0.97</v>
      </c>
      <c r="AE10" s="125">
        <v>0.14000000000000001</v>
      </c>
      <c r="AF10" s="122">
        <v>0.72699999999999998</v>
      </c>
      <c r="AG10" s="123">
        <v>10067</v>
      </c>
      <c r="AH10" s="123">
        <v>0</v>
      </c>
      <c r="AI10" s="124">
        <v>0.97599999999999998</v>
      </c>
      <c r="AJ10" s="124">
        <v>0.22800000000000001</v>
      </c>
      <c r="AK10" s="124">
        <v>0.98599999999999999</v>
      </c>
      <c r="AL10" s="124">
        <v>0.32400000000000001</v>
      </c>
      <c r="AM10" s="124">
        <v>0.99</v>
      </c>
      <c r="AN10" s="124">
        <v>0.35599999999999998</v>
      </c>
      <c r="AO10" s="124">
        <v>0.97099999999999997</v>
      </c>
      <c r="AP10" s="124">
        <v>0.158</v>
      </c>
      <c r="AQ10" s="124">
        <v>0.98699999999999999</v>
      </c>
      <c r="AR10" s="124">
        <v>0.34799999999999998</v>
      </c>
      <c r="AS10" s="124">
        <v>0.97</v>
      </c>
      <c r="AT10" s="125">
        <v>0.14499999999999999</v>
      </c>
      <c r="AU10" s="122">
        <v>0.72699999999999998</v>
      </c>
      <c r="AV10" s="123">
        <v>13816</v>
      </c>
      <c r="AW10" s="123">
        <v>0</v>
      </c>
      <c r="AX10" s="124">
        <v>0.97499999999999998</v>
      </c>
      <c r="AY10" s="124">
        <v>0.24099999999999999</v>
      </c>
      <c r="AZ10" s="124">
        <v>0.98399999999999999</v>
      </c>
      <c r="BA10" s="124">
        <v>0.32400000000000001</v>
      </c>
      <c r="BB10" s="124">
        <v>0.998</v>
      </c>
      <c r="BC10" s="124">
        <v>0.35699999999999998</v>
      </c>
      <c r="BD10" s="124">
        <v>0.97099999999999997</v>
      </c>
      <c r="BE10" s="124">
        <v>0.17199999999999999</v>
      </c>
      <c r="BF10" s="124">
        <v>0.98499999999999999</v>
      </c>
      <c r="BG10" s="124">
        <v>0.34799999999999998</v>
      </c>
      <c r="BH10" s="124">
        <v>0.97</v>
      </c>
      <c r="BI10" s="125">
        <v>0.161</v>
      </c>
      <c r="BJ10" s="122">
        <v>0</v>
      </c>
      <c r="BK10" s="123">
        <v>0</v>
      </c>
      <c r="BL10" s="123">
        <v>0</v>
      </c>
      <c r="BM10" s="124">
        <v>0</v>
      </c>
      <c r="BN10" s="124">
        <v>0</v>
      </c>
      <c r="BO10" s="124">
        <v>0</v>
      </c>
      <c r="BP10" s="124">
        <v>0</v>
      </c>
      <c r="BQ10" s="124">
        <v>0</v>
      </c>
      <c r="BR10" s="124">
        <v>0</v>
      </c>
      <c r="BS10" s="124">
        <v>0</v>
      </c>
      <c r="BT10" s="124">
        <v>0</v>
      </c>
      <c r="BU10" s="124">
        <v>0</v>
      </c>
      <c r="BV10" s="124">
        <v>0</v>
      </c>
      <c r="BW10" s="124">
        <v>0</v>
      </c>
      <c r="BX10" s="125">
        <v>0</v>
      </c>
      <c r="BY10" s="124">
        <v>0</v>
      </c>
      <c r="BZ10" s="123">
        <v>0</v>
      </c>
      <c r="CA10" s="123">
        <v>0</v>
      </c>
      <c r="CB10" s="124">
        <v>0</v>
      </c>
      <c r="CC10" s="124">
        <v>0</v>
      </c>
      <c r="CD10" s="124">
        <v>0</v>
      </c>
      <c r="CE10" s="124">
        <v>0</v>
      </c>
      <c r="CF10" s="124">
        <v>0</v>
      </c>
      <c r="CG10" s="124">
        <v>0</v>
      </c>
      <c r="CH10" s="124">
        <v>0</v>
      </c>
      <c r="CI10" s="124">
        <v>0</v>
      </c>
      <c r="CJ10" s="124">
        <v>0</v>
      </c>
      <c r="CK10" s="124">
        <v>0</v>
      </c>
      <c r="CL10" s="124">
        <v>0</v>
      </c>
      <c r="CM10" s="124">
        <v>0</v>
      </c>
      <c r="CN10" s="122">
        <v>0.72699999999999998</v>
      </c>
      <c r="CO10" s="123">
        <v>8772</v>
      </c>
      <c r="CP10" s="123">
        <v>0</v>
      </c>
      <c r="CQ10" s="124">
        <v>0.93300000000000005</v>
      </c>
      <c r="CR10" s="124">
        <v>0.222</v>
      </c>
      <c r="CS10" s="124">
        <v>0.94299999999999995</v>
      </c>
      <c r="CT10" s="124">
        <v>0.32400000000000001</v>
      </c>
      <c r="CU10" s="124">
        <v>0.94799999999999995</v>
      </c>
      <c r="CV10" s="124">
        <v>0.35599999999999998</v>
      </c>
      <c r="CW10" s="124">
        <v>0.92800000000000005</v>
      </c>
      <c r="CX10" s="124">
        <v>0.153</v>
      </c>
      <c r="CY10" s="124">
        <v>0.94499999999999995</v>
      </c>
      <c r="CZ10" s="124">
        <v>0.34799999999999998</v>
      </c>
      <c r="DA10" s="124">
        <v>0.92700000000000005</v>
      </c>
      <c r="DB10" s="125">
        <v>0.14000000000000001</v>
      </c>
      <c r="DC10" s="124">
        <v>0.72699999999999998</v>
      </c>
      <c r="DD10" s="123">
        <v>8772</v>
      </c>
      <c r="DE10" s="123">
        <v>0</v>
      </c>
      <c r="DF10" s="124">
        <v>0.93300000000000005</v>
      </c>
      <c r="DG10" s="124">
        <v>0.222</v>
      </c>
      <c r="DH10" s="124">
        <v>0.94299999999999995</v>
      </c>
      <c r="DI10" s="124">
        <v>0.32400000000000001</v>
      </c>
      <c r="DJ10" s="124">
        <v>0.94799999999999995</v>
      </c>
      <c r="DK10" s="124">
        <v>0.35599999999999998</v>
      </c>
      <c r="DL10" s="124">
        <v>0.92800000000000005</v>
      </c>
      <c r="DM10" s="124">
        <v>0.153</v>
      </c>
      <c r="DN10" s="124">
        <v>0.94499999999999995</v>
      </c>
      <c r="DO10" s="124">
        <v>0.34799999999999998</v>
      </c>
      <c r="DP10" s="124">
        <v>0.92700000000000005</v>
      </c>
      <c r="DQ10" s="124">
        <v>0.14000000000000001</v>
      </c>
      <c r="DR10" s="122">
        <v>0.72699999999999998</v>
      </c>
      <c r="DS10" s="123">
        <v>10067</v>
      </c>
      <c r="DT10" s="123">
        <v>0</v>
      </c>
      <c r="DU10" s="124">
        <v>0.93300000000000005</v>
      </c>
      <c r="DV10" s="124">
        <v>0.22700000000000001</v>
      </c>
      <c r="DW10" s="124">
        <v>0.94299999999999995</v>
      </c>
      <c r="DX10" s="124">
        <v>0.32400000000000001</v>
      </c>
      <c r="DY10" s="124">
        <v>0.94699999999999995</v>
      </c>
      <c r="DZ10" s="124">
        <v>0.35599999999999998</v>
      </c>
      <c r="EA10" s="124">
        <v>0.92800000000000005</v>
      </c>
      <c r="EB10" s="124">
        <v>0.157</v>
      </c>
      <c r="EC10" s="124">
        <v>0.94399999999999995</v>
      </c>
      <c r="ED10" s="124">
        <v>0.34799999999999998</v>
      </c>
      <c r="EE10" s="124">
        <v>0.92700000000000005</v>
      </c>
      <c r="EF10" s="125">
        <v>0.14499999999999999</v>
      </c>
      <c r="EG10" s="124">
        <v>0.72699999999999998</v>
      </c>
      <c r="EH10" s="123">
        <v>13816</v>
      </c>
      <c r="EI10" s="123">
        <v>0</v>
      </c>
      <c r="EJ10" s="124">
        <v>0.93300000000000005</v>
      </c>
      <c r="EK10" s="124">
        <v>0.24099999999999999</v>
      </c>
      <c r="EL10" s="124">
        <v>0.94099999999999995</v>
      </c>
      <c r="EM10" s="124">
        <v>0.32400000000000001</v>
      </c>
      <c r="EN10" s="124">
        <v>0.94499999999999995</v>
      </c>
      <c r="EO10" s="124">
        <v>0.35699999999999998</v>
      </c>
      <c r="EP10" s="124">
        <v>0.92800000000000005</v>
      </c>
      <c r="EQ10" s="124">
        <v>0.17199999999999999</v>
      </c>
      <c r="ER10" s="124">
        <v>0.94199999999999995</v>
      </c>
      <c r="ES10" s="124">
        <v>0.34799999999999998</v>
      </c>
      <c r="ET10" s="124">
        <v>0.92700000000000005</v>
      </c>
      <c r="EU10" s="124">
        <v>0.161</v>
      </c>
      <c r="EV10" s="122">
        <v>0</v>
      </c>
      <c r="EW10" s="123">
        <v>0</v>
      </c>
      <c r="EX10" s="123">
        <v>0</v>
      </c>
      <c r="EY10" s="124">
        <v>0</v>
      </c>
      <c r="EZ10" s="124">
        <v>0</v>
      </c>
      <c r="FA10" s="124">
        <v>0</v>
      </c>
      <c r="FB10" s="124">
        <v>0</v>
      </c>
      <c r="FC10" s="124">
        <v>0</v>
      </c>
      <c r="FD10" s="124">
        <v>0</v>
      </c>
      <c r="FE10" s="124">
        <v>0</v>
      </c>
      <c r="FF10" s="124">
        <v>0</v>
      </c>
      <c r="FG10" s="124">
        <v>0</v>
      </c>
      <c r="FH10" s="124">
        <v>0</v>
      </c>
      <c r="FI10" s="124">
        <v>0</v>
      </c>
      <c r="FJ10" s="125">
        <v>0</v>
      </c>
      <c r="FK10" s="124">
        <v>0</v>
      </c>
      <c r="FL10" s="123">
        <v>0</v>
      </c>
      <c r="FM10" s="123">
        <v>0</v>
      </c>
      <c r="FN10" s="124">
        <v>0</v>
      </c>
      <c r="FO10" s="124">
        <v>0</v>
      </c>
      <c r="FP10" s="124">
        <v>0</v>
      </c>
      <c r="FQ10" s="124">
        <v>0</v>
      </c>
      <c r="FR10" s="124">
        <v>0</v>
      </c>
      <c r="FS10" s="124">
        <v>0</v>
      </c>
      <c r="FT10" s="124">
        <v>0</v>
      </c>
      <c r="FU10" s="124">
        <v>0</v>
      </c>
      <c r="FV10" s="124">
        <v>0</v>
      </c>
      <c r="FW10" s="124">
        <v>0</v>
      </c>
      <c r="FX10" s="124">
        <v>0</v>
      </c>
      <c r="FY10" s="124">
        <v>0</v>
      </c>
      <c r="FZ10" s="122">
        <v>0.72699999999999998</v>
      </c>
      <c r="GA10" s="123">
        <v>10739</v>
      </c>
      <c r="GB10" s="123">
        <v>12140</v>
      </c>
      <c r="GC10" s="124">
        <v>0.93300000000000005</v>
      </c>
      <c r="GD10" s="124">
        <v>0.22800000000000001</v>
      </c>
      <c r="GE10" s="124">
        <v>0.94099999999999995</v>
      </c>
      <c r="GF10" s="124">
        <v>0.32</v>
      </c>
      <c r="GG10" s="124">
        <v>0.94499999999999995</v>
      </c>
      <c r="GH10" s="124">
        <v>0.35299999999999998</v>
      </c>
      <c r="GI10" s="124">
        <v>0.92800000000000005</v>
      </c>
      <c r="GJ10" s="124">
        <v>0.159</v>
      </c>
      <c r="GK10" s="124">
        <v>0.94399999999999995</v>
      </c>
      <c r="GL10" s="124">
        <v>0.34399999999999997</v>
      </c>
      <c r="GM10" s="124">
        <v>0.92800000000000005</v>
      </c>
      <c r="GN10" s="125">
        <v>0.14699999999999999</v>
      </c>
      <c r="GO10" s="124">
        <v>0.72699999999999998</v>
      </c>
      <c r="GP10" s="123">
        <v>11793</v>
      </c>
      <c r="GQ10" s="123">
        <v>13331</v>
      </c>
      <c r="GR10" s="124">
        <v>0.93200000000000005</v>
      </c>
      <c r="GS10" s="124">
        <v>0.23200000000000001</v>
      </c>
      <c r="GT10" s="124">
        <v>0.94</v>
      </c>
      <c r="GU10" s="124">
        <v>0.32</v>
      </c>
      <c r="GV10" s="124">
        <v>0.94399999999999995</v>
      </c>
      <c r="GW10" s="124">
        <v>0.35299999999999998</v>
      </c>
      <c r="GX10" s="124">
        <v>0.92800000000000005</v>
      </c>
      <c r="GY10" s="124">
        <v>0.16200000000000001</v>
      </c>
      <c r="GZ10" s="124">
        <v>0.94299999999999995</v>
      </c>
      <c r="HA10" s="124">
        <v>0.34399999999999997</v>
      </c>
      <c r="HB10" s="124">
        <v>0.92800000000000005</v>
      </c>
      <c r="HC10" s="124">
        <v>0.15</v>
      </c>
      <c r="HD10" s="122">
        <v>0.72699999999999998</v>
      </c>
      <c r="HE10" s="123">
        <v>14412</v>
      </c>
      <c r="HF10" s="123">
        <v>0</v>
      </c>
      <c r="HG10" s="124">
        <v>0.93200000000000005</v>
      </c>
      <c r="HH10" s="124">
        <v>0.23899999999999999</v>
      </c>
      <c r="HI10" s="124">
        <v>0.93899999999999995</v>
      </c>
      <c r="HJ10" s="124">
        <v>0.32100000000000001</v>
      </c>
      <c r="HK10" s="124">
        <v>0.94299999999999995</v>
      </c>
      <c r="HL10" s="124">
        <v>0.35299999999999998</v>
      </c>
      <c r="HM10" s="124">
        <v>0.92800000000000005</v>
      </c>
      <c r="HN10" s="124">
        <v>0.17</v>
      </c>
      <c r="HO10" s="124">
        <v>0.94199999999999995</v>
      </c>
      <c r="HP10" s="124">
        <v>0.34399999999999997</v>
      </c>
      <c r="HQ10" s="124">
        <v>0.92800000000000005</v>
      </c>
      <c r="HR10" s="125">
        <v>0.159</v>
      </c>
      <c r="HS10" s="124">
        <v>0</v>
      </c>
      <c r="HT10" s="123">
        <v>0</v>
      </c>
      <c r="HU10" s="123">
        <v>0</v>
      </c>
      <c r="HV10" s="124">
        <v>0</v>
      </c>
      <c r="HW10" s="124">
        <v>0</v>
      </c>
      <c r="HX10" s="124">
        <v>0</v>
      </c>
      <c r="HY10" s="124">
        <v>0</v>
      </c>
      <c r="HZ10" s="124">
        <v>0</v>
      </c>
      <c r="IA10" s="124">
        <v>0</v>
      </c>
      <c r="IB10" s="124">
        <v>0</v>
      </c>
      <c r="IC10" s="124">
        <v>0</v>
      </c>
      <c r="ID10" s="124">
        <v>0</v>
      </c>
      <c r="IE10" s="124">
        <v>0</v>
      </c>
      <c r="IF10" s="124">
        <v>0</v>
      </c>
      <c r="IG10" s="124">
        <v>0</v>
      </c>
      <c r="IH10" s="122">
        <v>0</v>
      </c>
      <c r="II10" s="123">
        <v>0</v>
      </c>
      <c r="IJ10" s="123">
        <v>0</v>
      </c>
      <c r="IK10" s="124">
        <v>0</v>
      </c>
      <c r="IL10" s="124">
        <v>0</v>
      </c>
      <c r="IM10" s="124">
        <v>0</v>
      </c>
      <c r="IN10" s="124">
        <v>0</v>
      </c>
      <c r="IO10" s="124">
        <v>0</v>
      </c>
      <c r="IP10" s="124">
        <v>0</v>
      </c>
      <c r="IQ10" s="124">
        <v>0</v>
      </c>
      <c r="IR10" s="124">
        <v>0</v>
      </c>
      <c r="IS10" s="124">
        <v>0</v>
      </c>
      <c r="IT10" s="124">
        <v>0</v>
      </c>
      <c r="IU10" s="124">
        <v>0</v>
      </c>
      <c r="IV10" s="125">
        <v>0</v>
      </c>
      <c r="IW10" s="124">
        <v>0</v>
      </c>
      <c r="IX10" s="123">
        <v>0</v>
      </c>
      <c r="IY10" s="123">
        <v>0</v>
      </c>
      <c r="IZ10" s="124">
        <v>0</v>
      </c>
      <c r="JA10" s="124">
        <v>0</v>
      </c>
      <c r="JB10" s="124">
        <v>0</v>
      </c>
      <c r="JC10" s="124">
        <v>0</v>
      </c>
      <c r="JD10" s="124">
        <v>0</v>
      </c>
      <c r="JE10" s="124">
        <v>0</v>
      </c>
      <c r="JF10" s="124">
        <v>0</v>
      </c>
      <c r="JG10" s="124">
        <v>0</v>
      </c>
      <c r="JH10" s="124">
        <v>0</v>
      </c>
      <c r="JI10" s="124">
        <v>0</v>
      </c>
      <c r="JJ10" s="124">
        <v>0</v>
      </c>
      <c r="JK10" s="125">
        <v>0</v>
      </c>
    </row>
    <row r="11" spans="1:271" ht="15" customHeight="1">
      <c r="A11" s="121">
        <v>35</v>
      </c>
      <c r="B11" s="122">
        <v>0.52400000000000002</v>
      </c>
      <c r="C11" s="123">
        <v>7804</v>
      </c>
      <c r="D11" s="123">
        <v>0</v>
      </c>
      <c r="E11" s="124">
        <v>0.70499999999999996</v>
      </c>
      <c r="F11" s="124">
        <v>0.215</v>
      </c>
      <c r="G11" s="124">
        <v>0.71499999999999997</v>
      </c>
      <c r="H11" s="124">
        <v>0.311</v>
      </c>
      <c r="I11" s="124">
        <v>0.71899999999999997</v>
      </c>
      <c r="J11" s="124">
        <v>0.34300000000000003</v>
      </c>
      <c r="K11" s="124">
        <v>0.70099999999999996</v>
      </c>
      <c r="L11" s="124">
        <v>0.14499999999999999</v>
      </c>
      <c r="M11" s="124">
        <v>0.71599999999999997</v>
      </c>
      <c r="N11" s="124">
        <v>0.33400000000000002</v>
      </c>
      <c r="O11" s="124">
        <v>0.7</v>
      </c>
      <c r="P11" s="125">
        <v>0.13200000000000001</v>
      </c>
      <c r="Q11" s="122">
        <v>0.52400000000000002</v>
      </c>
      <c r="R11" s="123">
        <v>7804</v>
      </c>
      <c r="S11" s="123">
        <v>0</v>
      </c>
      <c r="T11" s="124">
        <v>0.70499999999999996</v>
      </c>
      <c r="U11" s="124">
        <v>0.215</v>
      </c>
      <c r="V11" s="124">
        <v>0.71499999999999997</v>
      </c>
      <c r="W11" s="124">
        <v>0.311</v>
      </c>
      <c r="X11" s="124">
        <v>0.71899999999999997</v>
      </c>
      <c r="Y11" s="124">
        <v>0.34300000000000003</v>
      </c>
      <c r="Z11" s="124">
        <v>0.70099999999999996</v>
      </c>
      <c r="AA11" s="124">
        <v>0.14499999999999999</v>
      </c>
      <c r="AB11" s="124">
        <v>0.71599999999999997</v>
      </c>
      <c r="AC11" s="124">
        <v>0.33400000000000002</v>
      </c>
      <c r="AD11" s="124">
        <v>0.7</v>
      </c>
      <c r="AE11" s="125">
        <v>0.13200000000000001</v>
      </c>
      <c r="AF11" s="122">
        <v>0.52400000000000002</v>
      </c>
      <c r="AG11" s="123">
        <v>8993</v>
      </c>
      <c r="AH11" s="123">
        <v>0</v>
      </c>
      <c r="AI11" s="124">
        <v>0.70499999999999996</v>
      </c>
      <c r="AJ11" s="124">
        <v>0.219</v>
      </c>
      <c r="AK11" s="124">
        <v>0.71399999999999997</v>
      </c>
      <c r="AL11" s="124">
        <v>0.311</v>
      </c>
      <c r="AM11" s="124">
        <v>0.71799999999999997</v>
      </c>
      <c r="AN11" s="124">
        <v>0.34300000000000003</v>
      </c>
      <c r="AO11" s="124">
        <v>0.70099999999999996</v>
      </c>
      <c r="AP11" s="124">
        <v>0.14899999999999999</v>
      </c>
      <c r="AQ11" s="124">
        <v>0.71599999999999997</v>
      </c>
      <c r="AR11" s="124">
        <v>0.33400000000000002</v>
      </c>
      <c r="AS11" s="124">
        <v>0.7</v>
      </c>
      <c r="AT11" s="125">
        <v>0.13700000000000001</v>
      </c>
      <c r="AU11" s="122">
        <v>0.52400000000000002</v>
      </c>
      <c r="AV11" s="123">
        <v>11132</v>
      </c>
      <c r="AW11" s="123">
        <v>0</v>
      </c>
      <c r="AX11" s="124">
        <v>0.70499999999999996</v>
      </c>
      <c r="AY11" s="124">
        <v>0.22600000000000001</v>
      </c>
      <c r="AZ11" s="124">
        <v>0.71299999999999997</v>
      </c>
      <c r="BA11" s="124">
        <v>0.311</v>
      </c>
      <c r="BB11" s="124">
        <v>0.71699999999999997</v>
      </c>
      <c r="BC11" s="124">
        <v>0.34300000000000003</v>
      </c>
      <c r="BD11" s="124">
        <v>0.70099999999999996</v>
      </c>
      <c r="BE11" s="124">
        <v>0.157</v>
      </c>
      <c r="BF11" s="124">
        <v>0.71499999999999997</v>
      </c>
      <c r="BG11" s="124">
        <v>0.33400000000000002</v>
      </c>
      <c r="BH11" s="124">
        <v>0.7</v>
      </c>
      <c r="BI11" s="125">
        <v>0.14599999999999999</v>
      </c>
      <c r="BJ11" s="122">
        <v>0.52400000000000002</v>
      </c>
      <c r="BK11" s="123">
        <v>15020</v>
      </c>
      <c r="BL11" s="123">
        <v>0</v>
      </c>
      <c r="BM11" s="124">
        <v>0.70499999999999996</v>
      </c>
      <c r="BN11" s="124">
        <v>0.24199999999999999</v>
      </c>
      <c r="BO11" s="124">
        <v>0.71099999999999997</v>
      </c>
      <c r="BP11" s="124">
        <v>0.311</v>
      </c>
      <c r="BQ11" s="124">
        <v>0.71499999999999997</v>
      </c>
      <c r="BR11" s="124">
        <v>0.34300000000000003</v>
      </c>
      <c r="BS11" s="124">
        <v>0.7</v>
      </c>
      <c r="BT11" s="124">
        <v>0.17199999999999999</v>
      </c>
      <c r="BU11" s="124">
        <v>0.71199999999999997</v>
      </c>
      <c r="BV11" s="124">
        <v>0.33500000000000002</v>
      </c>
      <c r="BW11" s="124">
        <v>0.7</v>
      </c>
      <c r="BX11" s="125">
        <v>0.16200000000000001</v>
      </c>
      <c r="BY11" s="124">
        <v>0</v>
      </c>
      <c r="BZ11" s="123">
        <v>0</v>
      </c>
      <c r="CA11" s="123">
        <v>0</v>
      </c>
      <c r="CB11" s="124">
        <v>0</v>
      </c>
      <c r="CC11" s="124">
        <v>0</v>
      </c>
      <c r="CD11" s="124">
        <v>0</v>
      </c>
      <c r="CE11" s="124">
        <v>0</v>
      </c>
      <c r="CF11" s="124">
        <v>0</v>
      </c>
      <c r="CG11" s="124">
        <v>0</v>
      </c>
      <c r="CH11" s="124">
        <v>0</v>
      </c>
      <c r="CI11" s="124">
        <v>0</v>
      </c>
      <c r="CJ11" s="124">
        <v>0</v>
      </c>
      <c r="CK11" s="124">
        <v>0</v>
      </c>
      <c r="CL11" s="124">
        <v>0</v>
      </c>
      <c r="CM11" s="124">
        <v>0</v>
      </c>
      <c r="CN11" s="122">
        <v>0.52400000000000002</v>
      </c>
      <c r="CO11" s="123">
        <v>7804</v>
      </c>
      <c r="CP11" s="123">
        <v>0</v>
      </c>
      <c r="CQ11" s="124">
        <v>0.67400000000000004</v>
      </c>
      <c r="CR11" s="124">
        <v>0.214</v>
      </c>
      <c r="CS11" s="124">
        <v>0.68400000000000005</v>
      </c>
      <c r="CT11" s="124">
        <v>0.311</v>
      </c>
      <c r="CU11" s="124">
        <v>0.68799999999999994</v>
      </c>
      <c r="CV11" s="124">
        <v>0.34300000000000003</v>
      </c>
      <c r="CW11" s="124">
        <v>0.67</v>
      </c>
      <c r="CX11" s="124">
        <v>0.14399999999999999</v>
      </c>
      <c r="CY11" s="124">
        <v>0.68600000000000005</v>
      </c>
      <c r="CZ11" s="124">
        <v>0.33400000000000002</v>
      </c>
      <c r="DA11" s="124">
        <v>0.66900000000000004</v>
      </c>
      <c r="DB11" s="125">
        <v>0.13200000000000001</v>
      </c>
      <c r="DC11" s="124">
        <v>0.52400000000000002</v>
      </c>
      <c r="DD11" s="123">
        <v>7804</v>
      </c>
      <c r="DE11" s="123">
        <v>0</v>
      </c>
      <c r="DF11" s="124">
        <v>0.67400000000000004</v>
      </c>
      <c r="DG11" s="124">
        <v>0.214</v>
      </c>
      <c r="DH11" s="124">
        <v>0.68400000000000005</v>
      </c>
      <c r="DI11" s="124">
        <v>0.311</v>
      </c>
      <c r="DJ11" s="124">
        <v>0.68799999999999994</v>
      </c>
      <c r="DK11" s="124">
        <v>0.34300000000000003</v>
      </c>
      <c r="DL11" s="124">
        <v>0.67</v>
      </c>
      <c r="DM11" s="124">
        <v>0.14399999999999999</v>
      </c>
      <c r="DN11" s="124">
        <v>0.68600000000000005</v>
      </c>
      <c r="DO11" s="124">
        <v>0.33400000000000002</v>
      </c>
      <c r="DP11" s="124">
        <v>0.66900000000000004</v>
      </c>
      <c r="DQ11" s="124">
        <v>0.13200000000000001</v>
      </c>
      <c r="DR11" s="122">
        <v>0.52400000000000002</v>
      </c>
      <c r="DS11" s="123">
        <v>8993</v>
      </c>
      <c r="DT11" s="123">
        <v>0</v>
      </c>
      <c r="DU11" s="124">
        <v>0.67400000000000004</v>
      </c>
      <c r="DV11" s="124">
        <v>0.219</v>
      </c>
      <c r="DW11" s="124">
        <v>0.68300000000000005</v>
      </c>
      <c r="DX11" s="124">
        <v>0.311</v>
      </c>
      <c r="DY11" s="124">
        <v>0.68799999999999994</v>
      </c>
      <c r="DZ11" s="124">
        <v>0.34300000000000003</v>
      </c>
      <c r="EA11" s="124">
        <v>0.67</v>
      </c>
      <c r="EB11" s="124">
        <v>0.14899999999999999</v>
      </c>
      <c r="EC11" s="124">
        <v>0.68500000000000005</v>
      </c>
      <c r="ED11" s="124">
        <v>0.33400000000000002</v>
      </c>
      <c r="EE11" s="124">
        <v>0.66900000000000004</v>
      </c>
      <c r="EF11" s="125">
        <v>0.13700000000000001</v>
      </c>
      <c r="EG11" s="124">
        <v>0.52400000000000002</v>
      </c>
      <c r="EH11" s="123">
        <v>11132</v>
      </c>
      <c r="EI11" s="123">
        <v>0</v>
      </c>
      <c r="EJ11" s="124">
        <v>0.67400000000000004</v>
      </c>
      <c r="EK11" s="124">
        <v>0.22600000000000001</v>
      </c>
      <c r="EL11" s="124">
        <v>0.68200000000000005</v>
      </c>
      <c r="EM11" s="124">
        <v>0.311</v>
      </c>
      <c r="EN11" s="124">
        <v>0.68600000000000005</v>
      </c>
      <c r="EO11" s="124">
        <v>0.34300000000000003</v>
      </c>
      <c r="EP11" s="124">
        <v>0.67</v>
      </c>
      <c r="EQ11" s="124">
        <v>0.157</v>
      </c>
      <c r="ER11" s="124">
        <v>0.68400000000000005</v>
      </c>
      <c r="ES11" s="124">
        <v>0.33400000000000002</v>
      </c>
      <c r="ET11" s="124">
        <v>0.66900000000000004</v>
      </c>
      <c r="EU11" s="124">
        <v>0.14599999999999999</v>
      </c>
      <c r="EV11" s="122">
        <v>0.52400000000000002</v>
      </c>
      <c r="EW11" s="123">
        <v>15020</v>
      </c>
      <c r="EX11" s="123">
        <v>0</v>
      </c>
      <c r="EY11" s="124">
        <v>0.67400000000000004</v>
      </c>
      <c r="EZ11" s="124">
        <v>0.24199999999999999</v>
      </c>
      <c r="FA11" s="124">
        <v>0.68</v>
      </c>
      <c r="FB11" s="124">
        <v>0.311</v>
      </c>
      <c r="FC11" s="124">
        <v>0.68400000000000005</v>
      </c>
      <c r="FD11" s="124">
        <v>0.34300000000000003</v>
      </c>
      <c r="FE11" s="124">
        <v>0.67</v>
      </c>
      <c r="FF11" s="124">
        <v>0.17199999999999999</v>
      </c>
      <c r="FG11" s="124">
        <v>0.68200000000000005</v>
      </c>
      <c r="FH11" s="124">
        <v>0.33500000000000002</v>
      </c>
      <c r="FI11" s="124">
        <v>0.66900000000000004</v>
      </c>
      <c r="FJ11" s="125">
        <v>0.16200000000000001</v>
      </c>
      <c r="FK11" s="124">
        <v>0</v>
      </c>
      <c r="FL11" s="123">
        <v>0</v>
      </c>
      <c r="FM11" s="123">
        <v>0</v>
      </c>
      <c r="FN11" s="124">
        <v>0</v>
      </c>
      <c r="FO11" s="124">
        <v>0</v>
      </c>
      <c r="FP11" s="124">
        <v>0</v>
      </c>
      <c r="FQ11" s="124">
        <v>0</v>
      </c>
      <c r="FR11" s="124">
        <v>0</v>
      </c>
      <c r="FS11" s="124">
        <v>0</v>
      </c>
      <c r="FT11" s="124">
        <v>0</v>
      </c>
      <c r="FU11" s="124">
        <v>0</v>
      </c>
      <c r="FV11" s="124">
        <v>0</v>
      </c>
      <c r="FW11" s="124">
        <v>0</v>
      </c>
      <c r="FX11" s="124">
        <v>0</v>
      </c>
      <c r="FY11" s="124">
        <v>0</v>
      </c>
      <c r="FZ11" s="122">
        <v>0.52400000000000002</v>
      </c>
      <c r="GA11" s="123">
        <v>9719</v>
      </c>
      <c r="GB11" s="123">
        <v>10987</v>
      </c>
      <c r="GC11" s="124">
        <v>0.67300000000000004</v>
      </c>
      <c r="GD11" s="124">
        <v>0.22</v>
      </c>
      <c r="GE11" s="124">
        <v>0.68100000000000005</v>
      </c>
      <c r="GF11" s="124">
        <v>0.308</v>
      </c>
      <c r="GG11" s="124">
        <v>0.68500000000000005</v>
      </c>
      <c r="GH11" s="124">
        <v>0.34</v>
      </c>
      <c r="GI11" s="124">
        <v>0.67</v>
      </c>
      <c r="GJ11" s="124">
        <v>0.151</v>
      </c>
      <c r="GK11" s="124">
        <v>0.68400000000000005</v>
      </c>
      <c r="GL11" s="124">
        <v>0.33200000000000002</v>
      </c>
      <c r="GM11" s="124">
        <v>0.66900000000000004</v>
      </c>
      <c r="GN11" s="125">
        <v>0.13900000000000001</v>
      </c>
      <c r="GO11" s="124">
        <v>0.52400000000000002</v>
      </c>
      <c r="GP11" s="123">
        <v>10698</v>
      </c>
      <c r="GQ11" s="123">
        <v>13595</v>
      </c>
      <c r="GR11" s="124">
        <v>0.67300000000000004</v>
      </c>
      <c r="GS11" s="124">
        <v>0.223</v>
      </c>
      <c r="GT11" s="124">
        <v>0.68100000000000005</v>
      </c>
      <c r="GU11" s="124">
        <v>0.308</v>
      </c>
      <c r="GV11" s="124">
        <v>0.68500000000000005</v>
      </c>
      <c r="GW11" s="124">
        <v>0.34</v>
      </c>
      <c r="GX11" s="124">
        <v>0.67</v>
      </c>
      <c r="GY11" s="124">
        <v>0.154</v>
      </c>
      <c r="GZ11" s="124">
        <v>0.68400000000000005</v>
      </c>
      <c r="HA11" s="124">
        <v>0.33200000000000002</v>
      </c>
      <c r="HB11" s="124">
        <v>0.66900000000000004</v>
      </c>
      <c r="HC11" s="124">
        <v>0.14199999999999999</v>
      </c>
      <c r="HD11" s="122">
        <v>0.52400000000000002</v>
      </c>
      <c r="HE11" s="123">
        <v>13151</v>
      </c>
      <c r="HF11" s="123">
        <v>14866</v>
      </c>
      <c r="HG11" s="124">
        <v>0.67300000000000004</v>
      </c>
      <c r="HH11" s="124">
        <v>0.23100000000000001</v>
      </c>
      <c r="HI11" s="124">
        <v>0.68</v>
      </c>
      <c r="HJ11" s="124">
        <v>0.308</v>
      </c>
      <c r="HK11" s="124">
        <v>0.68400000000000005</v>
      </c>
      <c r="HL11" s="124">
        <v>0.34</v>
      </c>
      <c r="HM11" s="124">
        <v>0.67</v>
      </c>
      <c r="HN11" s="124">
        <v>0.16200000000000001</v>
      </c>
      <c r="HO11" s="124">
        <v>0.68300000000000005</v>
      </c>
      <c r="HP11" s="124">
        <v>0.33200000000000002</v>
      </c>
      <c r="HQ11" s="124">
        <v>0.66900000000000004</v>
      </c>
      <c r="HR11" s="125">
        <v>0.151</v>
      </c>
      <c r="HS11" s="124">
        <v>0.52400000000000002</v>
      </c>
      <c r="HT11" s="123">
        <v>15127</v>
      </c>
      <c r="HU11" s="123">
        <v>17100</v>
      </c>
      <c r="HV11" s="124">
        <v>0.67300000000000004</v>
      </c>
      <c r="HW11" s="124">
        <v>0.23799999999999999</v>
      </c>
      <c r="HX11" s="124">
        <v>0.67900000000000005</v>
      </c>
      <c r="HY11" s="124">
        <v>0.308</v>
      </c>
      <c r="HZ11" s="124">
        <v>0.68300000000000005</v>
      </c>
      <c r="IA11" s="124">
        <v>0.34100000000000003</v>
      </c>
      <c r="IB11" s="124">
        <v>0.66900000000000004</v>
      </c>
      <c r="IC11" s="124">
        <v>0.16800000000000001</v>
      </c>
      <c r="ID11" s="124">
        <v>0.68200000000000005</v>
      </c>
      <c r="IE11" s="124">
        <v>0.33200000000000002</v>
      </c>
      <c r="IF11" s="124">
        <v>0.66900000000000004</v>
      </c>
      <c r="IG11" s="124">
        <v>0.158</v>
      </c>
      <c r="IH11" s="122">
        <v>0.52400000000000002</v>
      </c>
      <c r="II11" s="123">
        <v>17743</v>
      </c>
      <c r="IJ11" s="123">
        <v>19155</v>
      </c>
      <c r="IK11" s="124">
        <v>0.67300000000000004</v>
      </c>
      <c r="IL11" s="124">
        <v>0.247</v>
      </c>
      <c r="IM11" s="124">
        <v>0.67800000000000005</v>
      </c>
      <c r="IN11" s="124">
        <v>0.308</v>
      </c>
      <c r="IO11" s="124">
        <v>0.68200000000000005</v>
      </c>
      <c r="IP11" s="124">
        <v>0.34100000000000003</v>
      </c>
      <c r="IQ11" s="124">
        <v>0.66900000000000004</v>
      </c>
      <c r="IR11" s="124">
        <v>0.17699999999999999</v>
      </c>
      <c r="IS11" s="124">
        <v>0.68</v>
      </c>
      <c r="IT11" s="124">
        <v>0.33200000000000002</v>
      </c>
      <c r="IU11" s="124">
        <v>0.66900000000000004</v>
      </c>
      <c r="IV11" s="125">
        <v>0.16800000000000001</v>
      </c>
      <c r="IW11" s="124">
        <v>0</v>
      </c>
      <c r="IX11" s="123">
        <v>0</v>
      </c>
      <c r="IY11" s="123">
        <v>0</v>
      </c>
      <c r="IZ11" s="124">
        <v>0</v>
      </c>
      <c r="JA11" s="124">
        <v>0</v>
      </c>
      <c r="JB11" s="124">
        <v>0</v>
      </c>
      <c r="JC11" s="124">
        <v>0</v>
      </c>
      <c r="JD11" s="124">
        <v>0</v>
      </c>
      <c r="JE11" s="124">
        <v>0</v>
      </c>
      <c r="JF11" s="124">
        <v>0</v>
      </c>
      <c r="JG11" s="124">
        <v>0</v>
      </c>
      <c r="JH11" s="124">
        <v>0</v>
      </c>
      <c r="JI11" s="124">
        <v>0</v>
      </c>
      <c r="JJ11" s="124">
        <v>0</v>
      </c>
      <c r="JK11" s="125">
        <v>0</v>
      </c>
    </row>
    <row r="12" spans="1:271" ht="15" customHeight="1">
      <c r="A12" s="121">
        <v>50</v>
      </c>
      <c r="B12" s="122">
        <v>0.38700000000000001</v>
      </c>
      <c r="C12" s="123">
        <v>6908</v>
      </c>
      <c r="D12" s="123">
        <v>0</v>
      </c>
      <c r="E12" s="124">
        <v>0.52200000000000002</v>
      </c>
      <c r="F12" s="124">
        <v>0.20599999999999999</v>
      </c>
      <c r="G12" s="124">
        <v>0.53100000000000003</v>
      </c>
      <c r="H12" s="124">
        <v>0.29799999999999999</v>
      </c>
      <c r="I12" s="124">
        <v>0.53400000000000003</v>
      </c>
      <c r="J12" s="124">
        <v>0.33</v>
      </c>
      <c r="K12" s="124">
        <v>0.51800000000000002</v>
      </c>
      <c r="L12" s="124">
        <v>0.13700000000000001</v>
      </c>
      <c r="M12" s="124">
        <v>0.53300000000000003</v>
      </c>
      <c r="N12" s="124">
        <v>0.32100000000000001</v>
      </c>
      <c r="O12" s="124">
        <v>0.51700000000000002</v>
      </c>
      <c r="P12" s="125">
        <v>0.125</v>
      </c>
      <c r="Q12" s="122">
        <v>0.38700000000000001</v>
      </c>
      <c r="R12" s="123">
        <v>6908</v>
      </c>
      <c r="S12" s="123">
        <v>0</v>
      </c>
      <c r="T12" s="124">
        <v>0.52200000000000002</v>
      </c>
      <c r="U12" s="124">
        <v>0.20599999999999999</v>
      </c>
      <c r="V12" s="124">
        <v>0.53100000000000003</v>
      </c>
      <c r="W12" s="124">
        <v>0.29799999999999999</v>
      </c>
      <c r="X12" s="124">
        <v>0.53400000000000003</v>
      </c>
      <c r="Y12" s="124">
        <v>0.33</v>
      </c>
      <c r="Z12" s="124">
        <v>0.51800000000000002</v>
      </c>
      <c r="AA12" s="124">
        <v>0.13700000000000001</v>
      </c>
      <c r="AB12" s="124">
        <v>0.53300000000000003</v>
      </c>
      <c r="AC12" s="124">
        <v>0.32100000000000001</v>
      </c>
      <c r="AD12" s="124">
        <v>0.51700000000000002</v>
      </c>
      <c r="AE12" s="125">
        <v>0.125</v>
      </c>
      <c r="AF12" s="122">
        <v>0.38700000000000001</v>
      </c>
      <c r="AG12" s="123">
        <v>7991</v>
      </c>
      <c r="AH12" s="123">
        <v>0</v>
      </c>
      <c r="AI12" s="124">
        <v>0.52200000000000002</v>
      </c>
      <c r="AJ12" s="124">
        <v>0.21</v>
      </c>
      <c r="AK12" s="124">
        <v>0.53100000000000003</v>
      </c>
      <c r="AL12" s="124">
        <v>0.29799999999999999</v>
      </c>
      <c r="AM12" s="124">
        <v>0.53500000000000003</v>
      </c>
      <c r="AN12" s="124">
        <v>0.33</v>
      </c>
      <c r="AO12" s="124">
        <v>0.51800000000000002</v>
      </c>
      <c r="AP12" s="124">
        <v>0.14099999999999999</v>
      </c>
      <c r="AQ12" s="124">
        <v>0.53200000000000003</v>
      </c>
      <c r="AR12" s="124">
        <v>0.32100000000000001</v>
      </c>
      <c r="AS12" s="124">
        <v>0.51700000000000002</v>
      </c>
      <c r="AT12" s="125">
        <v>0.13</v>
      </c>
      <c r="AU12" s="122">
        <v>0.38700000000000001</v>
      </c>
      <c r="AV12" s="123">
        <v>9958</v>
      </c>
      <c r="AW12" s="123">
        <v>0</v>
      </c>
      <c r="AX12" s="124">
        <v>0.52200000000000002</v>
      </c>
      <c r="AY12" s="124">
        <v>0.218</v>
      </c>
      <c r="AZ12" s="124">
        <v>0.53</v>
      </c>
      <c r="BA12" s="124">
        <v>0.29799999999999999</v>
      </c>
      <c r="BB12" s="124">
        <v>0.53400000000000003</v>
      </c>
      <c r="BC12" s="124">
        <v>0.33</v>
      </c>
      <c r="BD12" s="124">
        <v>0.51800000000000002</v>
      </c>
      <c r="BE12" s="124">
        <v>0.14899999999999999</v>
      </c>
      <c r="BF12" s="124">
        <v>0.53100000000000003</v>
      </c>
      <c r="BG12" s="124">
        <v>0.32100000000000001</v>
      </c>
      <c r="BH12" s="124">
        <v>0.51700000000000002</v>
      </c>
      <c r="BI12" s="125">
        <v>0.13800000000000001</v>
      </c>
      <c r="BJ12" s="122">
        <v>0.38700000000000001</v>
      </c>
      <c r="BK12" s="123">
        <v>12517</v>
      </c>
      <c r="BL12" s="123">
        <v>0</v>
      </c>
      <c r="BM12" s="124">
        <v>0.52200000000000002</v>
      </c>
      <c r="BN12" s="124">
        <v>0.22800000000000001</v>
      </c>
      <c r="BO12" s="124">
        <v>0.52800000000000002</v>
      </c>
      <c r="BP12" s="124">
        <v>0.29799999999999999</v>
      </c>
      <c r="BQ12" s="124">
        <v>0.53200000000000003</v>
      </c>
      <c r="BR12" s="124">
        <v>0.33</v>
      </c>
      <c r="BS12" s="124">
        <v>0.51800000000000002</v>
      </c>
      <c r="BT12" s="124">
        <v>0.159</v>
      </c>
      <c r="BU12" s="124">
        <v>0.53</v>
      </c>
      <c r="BV12" s="124">
        <v>0.32100000000000001</v>
      </c>
      <c r="BW12" s="124">
        <v>0.51700000000000002</v>
      </c>
      <c r="BX12" s="125">
        <v>0.14899999999999999</v>
      </c>
      <c r="BY12" s="124">
        <v>0.38700000000000001</v>
      </c>
      <c r="BZ12" s="123">
        <v>16288</v>
      </c>
      <c r="CA12" s="123">
        <v>0</v>
      </c>
      <c r="CB12" s="124">
        <v>0.52200000000000002</v>
      </c>
      <c r="CC12" s="124">
        <v>0.24299999999999999</v>
      </c>
      <c r="CD12" s="124">
        <v>0.52700000000000002</v>
      </c>
      <c r="CE12" s="124">
        <v>0.29799999999999999</v>
      </c>
      <c r="CF12" s="124">
        <v>0.53</v>
      </c>
      <c r="CG12" s="124">
        <v>0.33</v>
      </c>
      <c r="CH12" s="124">
        <v>0.51800000000000002</v>
      </c>
      <c r="CI12" s="124">
        <v>0.17399999999999999</v>
      </c>
      <c r="CJ12" s="124">
        <v>0.52800000000000002</v>
      </c>
      <c r="CK12" s="124">
        <v>0.32200000000000001</v>
      </c>
      <c r="CL12" s="124">
        <v>0</v>
      </c>
      <c r="CM12" s="124">
        <v>0</v>
      </c>
      <c r="CN12" s="122">
        <v>0.38700000000000001</v>
      </c>
      <c r="CO12" s="123">
        <v>6908</v>
      </c>
      <c r="CP12" s="123">
        <v>0</v>
      </c>
      <c r="CQ12" s="124">
        <v>0.499</v>
      </c>
      <c r="CR12" s="124">
        <v>0.20599999999999999</v>
      </c>
      <c r="CS12" s="124">
        <v>0.50800000000000001</v>
      </c>
      <c r="CT12" s="124">
        <v>0.29799999999999999</v>
      </c>
      <c r="CU12" s="124">
        <v>0.51300000000000001</v>
      </c>
      <c r="CV12" s="124">
        <v>0.33</v>
      </c>
      <c r="CW12" s="124">
        <v>0.495</v>
      </c>
      <c r="CX12" s="124">
        <v>0.13700000000000001</v>
      </c>
      <c r="CY12" s="124">
        <v>0.51</v>
      </c>
      <c r="CZ12" s="124">
        <v>0.32100000000000001</v>
      </c>
      <c r="DA12" s="124">
        <v>0.49399999999999999</v>
      </c>
      <c r="DB12" s="125">
        <v>0.125</v>
      </c>
      <c r="DC12" s="124">
        <v>0.38700000000000001</v>
      </c>
      <c r="DD12" s="123">
        <v>6908</v>
      </c>
      <c r="DE12" s="123">
        <v>0</v>
      </c>
      <c r="DF12" s="124">
        <v>0.499</v>
      </c>
      <c r="DG12" s="124">
        <v>0.20599999999999999</v>
      </c>
      <c r="DH12" s="124">
        <v>0.50800000000000001</v>
      </c>
      <c r="DI12" s="124">
        <v>0.29799999999999999</v>
      </c>
      <c r="DJ12" s="124">
        <v>0.51300000000000001</v>
      </c>
      <c r="DK12" s="124">
        <v>0.33</v>
      </c>
      <c r="DL12" s="124">
        <v>0.495</v>
      </c>
      <c r="DM12" s="124">
        <v>0.13700000000000001</v>
      </c>
      <c r="DN12" s="124">
        <v>0.51</v>
      </c>
      <c r="DO12" s="124">
        <v>0.32100000000000001</v>
      </c>
      <c r="DP12" s="124">
        <v>0.49399999999999999</v>
      </c>
      <c r="DQ12" s="124">
        <v>0.125</v>
      </c>
      <c r="DR12" s="122">
        <v>0.38700000000000001</v>
      </c>
      <c r="DS12" s="123">
        <v>7991</v>
      </c>
      <c r="DT12" s="123">
        <v>0</v>
      </c>
      <c r="DU12" s="124">
        <v>0.499</v>
      </c>
      <c r="DV12" s="124">
        <v>0.21</v>
      </c>
      <c r="DW12" s="124">
        <v>0.50800000000000001</v>
      </c>
      <c r="DX12" s="124">
        <v>0.29799999999999999</v>
      </c>
      <c r="DY12" s="124">
        <v>0.51200000000000001</v>
      </c>
      <c r="DZ12" s="124">
        <v>0.33</v>
      </c>
      <c r="EA12" s="124">
        <v>0.495</v>
      </c>
      <c r="EB12" s="124">
        <v>0.14099999999999999</v>
      </c>
      <c r="EC12" s="124">
        <v>0.50900000000000001</v>
      </c>
      <c r="ED12" s="124">
        <v>0.32100000000000001</v>
      </c>
      <c r="EE12" s="124">
        <v>0.49399999999999999</v>
      </c>
      <c r="EF12" s="125">
        <v>0.13</v>
      </c>
      <c r="EG12" s="124">
        <v>0.38700000000000001</v>
      </c>
      <c r="EH12" s="123">
        <v>9958</v>
      </c>
      <c r="EI12" s="123">
        <v>0</v>
      </c>
      <c r="EJ12" s="124">
        <v>0.499</v>
      </c>
      <c r="EK12" s="124">
        <v>0.218</v>
      </c>
      <c r="EL12" s="124">
        <v>0.50700000000000001</v>
      </c>
      <c r="EM12" s="124">
        <v>0.29799999999999999</v>
      </c>
      <c r="EN12" s="124">
        <v>0.51100000000000001</v>
      </c>
      <c r="EO12" s="124">
        <v>0.33</v>
      </c>
      <c r="EP12" s="124">
        <v>0.495</v>
      </c>
      <c r="EQ12" s="124">
        <v>0.14899999999999999</v>
      </c>
      <c r="ER12" s="124">
        <v>0.50800000000000001</v>
      </c>
      <c r="ES12" s="124">
        <v>0.32100000000000001</v>
      </c>
      <c r="ET12" s="124">
        <v>0.49399999999999999</v>
      </c>
      <c r="EU12" s="124">
        <v>0.13800000000000001</v>
      </c>
      <c r="EV12" s="122">
        <v>0.38700000000000001</v>
      </c>
      <c r="EW12" s="123">
        <v>12517</v>
      </c>
      <c r="EX12" s="123">
        <v>0</v>
      </c>
      <c r="EY12" s="124">
        <v>0.499</v>
      </c>
      <c r="EZ12" s="124">
        <v>0.22800000000000001</v>
      </c>
      <c r="FA12" s="124">
        <v>0.50600000000000001</v>
      </c>
      <c r="FB12" s="124">
        <v>0.29799999999999999</v>
      </c>
      <c r="FC12" s="124">
        <v>0.50900000000000001</v>
      </c>
      <c r="FD12" s="124">
        <v>0.33</v>
      </c>
      <c r="FE12" s="124">
        <v>0.495</v>
      </c>
      <c r="FF12" s="124">
        <v>0.159</v>
      </c>
      <c r="FG12" s="124">
        <v>0.50700000000000001</v>
      </c>
      <c r="FH12" s="124">
        <v>0.32100000000000001</v>
      </c>
      <c r="FI12" s="124">
        <v>0.49399999999999999</v>
      </c>
      <c r="FJ12" s="125">
        <v>0.14899999999999999</v>
      </c>
      <c r="FK12" s="124">
        <v>0.38700000000000001</v>
      </c>
      <c r="FL12" s="123">
        <v>16288</v>
      </c>
      <c r="FM12" s="123">
        <v>0</v>
      </c>
      <c r="FN12" s="124">
        <v>0.499</v>
      </c>
      <c r="FO12" s="124">
        <v>0.24299999999999999</v>
      </c>
      <c r="FP12" s="124">
        <v>0.504</v>
      </c>
      <c r="FQ12" s="124">
        <v>0.29799999999999999</v>
      </c>
      <c r="FR12" s="124">
        <v>0.50700000000000001</v>
      </c>
      <c r="FS12" s="124">
        <v>0.33</v>
      </c>
      <c r="FT12" s="124">
        <v>0.495</v>
      </c>
      <c r="FU12" s="124">
        <v>0.17399999999999999</v>
      </c>
      <c r="FV12" s="124">
        <v>0.505</v>
      </c>
      <c r="FW12" s="124">
        <v>0.32200000000000001</v>
      </c>
      <c r="FX12" s="124">
        <v>0</v>
      </c>
      <c r="FY12" s="124">
        <v>0</v>
      </c>
      <c r="FZ12" s="122">
        <v>0.38700000000000001</v>
      </c>
      <c r="GA12" s="123">
        <v>8879</v>
      </c>
      <c r="GB12" s="123">
        <v>10037</v>
      </c>
      <c r="GC12" s="124">
        <v>0.498</v>
      </c>
      <c r="GD12" s="124">
        <v>0.214</v>
      </c>
      <c r="GE12" s="124">
        <v>0.50600000000000001</v>
      </c>
      <c r="GF12" s="124">
        <v>0.29799999999999999</v>
      </c>
      <c r="GG12" s="124">
        <v>0.51</v>
      </c>
      <c r="GH12" s="124">
        <v>0.33</v>
      </c>
      <c r="GI12" s="124">
        <v>0.495</v>
      </c>
      <c r="GJ12" s="124">
        <v>0.14399999999999999</v>
      </c>
      <c r="GK12" s="124">
        <v>0.50900000000000001</v>
      </c>
      <c r="GL12" s="124">
        <v>0.32100000000000001</v>
      </c>
      <c r="GM12" s="124">
        <v>0.495</v>
      </c>
      <c r="GN12" s="125">
        <v>0.13300000000000001</v>
      </c>
      <c r="GO12" s="124">
        <v>0.38700000000000001</v>
      </c>
      <c r="GP12" s="123">
        <v>9794</v>
      </c>
      <c r="GQ12" s="123">
        <v>11072</v>
      </c>
      <c r="GR12" s="124">
        <v>0.498</v>
      </c>
      <c r="GS12" s="124">
        <v>0.216</v>
      </c>
      <c r="GT12" s="124">
        <v>0.50600000000000001</v>
      </c>
      <c r="GU12" s="124">
        <v>0.29799999999999999</v>
      </c>
      <c r="GV12" s="124">
        <v>0.51</v>
      </c>
      <c r="GW12" s="124">
        <v>0.33</v>
      </c>
      <c r="GX12" s="124">
        <v>0.495</v>
      </c>
      <c r="GY12" s="124">
        <v>0.14699999999999999</v>
      </c>
      <c r="GZ12" s="124">
        <v>0.50900000000000001</v>
      </c>
      <c r="HA12" s="124">
        <v>0.32100000000000001</v>
      </c>
      <c r="HB12" s="124">
        <v>0.495</v>
      </c>
      <c r="HC12" s="124">
        <v>0.13600000000000001</v>
      </c>
      <c r="HD12" s="122">
        <v>0.38700000000000001</v>
      </c>
      <c r="HE12" s="123">
        <v>12099</v>
      </c>
      <c r="HF12" s="123">
        <v>13678</v>
      </c>
      <c r="HG12" s="124">
        <v>0.498</v>
      </c>
      <c r="HH12" s="124">
        <v>0.224</v>
      </c>
      <c r="HI12" s="124">
        <v>0.505</v>
      </c>
      <c r="HJ12" s="124">
        <v>0.29799999999999999</v>
      </c>
      <c r="HK12" s="124">
        <v>0.50900000000000001</v>
      </c>
      <c r="HL12" s="124">
        <v>0.33</v>
      </c>
      <c r="HM12" s="124">
        <v>0.495</v>
      </c>
      <c r="HN12" s="124">
        <v>0.155</v>
      </c>
      <c r="HO12" s="124">
        <v>0.50700000000000001</v>
      </c>
      <c r="HP12" s="124">
        <v>0.32100000000000001</v>
      </c>
      <c r="HQ12" s="124">
        <v>0.49399999999999999</v>
      </c>
      <c r="HR12" s="125">
        <v>0.14399999999999999</v>
      </c>
      <c r="HS12" s="124">
        <v>0.38700000000000001</v>
      </c>
      <c r="HT12" s="123">
        <v>13970</v>
      </c>
      <c r="HU12" s="123">
        <v>15792</v>
      </c>
      <c r="HV12" s="124">
        <v>0.498</v>
      </c>
      <c r="HW12" s="124">
        <v>0.23100000000000001</v>
      </c>
      <c r="HX12" s="124">
        <v>0.504</v>
      </c>
      <c r="HY12" s="124">
        <v>0.29799999999999999</v>
      </c>
      <c r="HZ12" s="124">
        <v>0.50800000000000001</v>
      </c>
      <c r="IA12" s="124">
        <v>0.33</v>
      </c>
      <c r="IB12" s="124">
        <v>0.495</v>
      </c>
      <c r="IC12" s="124">
        <v>0.161</v>
      </c>
      <c r="ID12" s="124">
        <v>0.50700000000000001</v>
      </c>
      <c r="IE12" s="124">
        <v>0.32100000000000001</v>
      </c>
      <c r="IF12" s="124">
        <v>0.495</v>
      </c>
      <c r="IG12" s="124">
        <v>0.151</v>
      </c>
      <c r="IH12" s="122">
        <v>0.38700000000000001</v>
      </c>
      <c r="II12" s="123">
        <v>16148</v>
      </c>
      <c r="IJ12" s="123">
        <v>17149</v>
      </c>
      <c r="IK12" s="124">
        <v>0.498</v>
      </c>
      <c r="IL12" s="124">
        <v>0.23799999999999999</v>
      </c>
      <c r="IM12" s="124">
        <v>0.503</v>
      </c>
      <c r="IN12" s="124">
        <v>0.29799999999999999</v>
      </c>
      <c r="IO12" s="124">
        <v>0.50700000000000001</v>
      </c>
      <c r="IP12" s="124">
        <v>0.33</v>
      </c>
      <c r="IQ12" s="124">
        <v>0.495</v>
      </c>
      <c r="IR12" s="124">
        <v>0.16900000000000001</v>
      </c>
      <c r="IS12" s="124">
        <v>0.50600000000000001</v>
      </c>
      <c r="IT12" s="124">
        <v>0.32200000000000001</v>
      </c>
      <c r="IU12" s="124">
        <v>0.495</v>
      </c>
      <c r="IV12" s="125">
        <v>0.159</v>
      </c>
      <c r="IW12" s="124">
        <v>0.38700000000000001</v>
      </c>
      <c r="IX12" s="123">
        <v>19063</v>
      </c>
      <c r="IY12" s="123">
        <v>20218</v>
      </c>
      <c r="IZ12" s="124">
        <v>0.499</v>
      </c>
      <c r="JA12" s="124">
        <v>0.248</v>
      </c>
      <c r="JB12" s="124">
        <v>0.505</v>
      </c>
      <c r="JC12" s="124">
        <v>0.29799999999999999</v>
      </c>
      <c r="JD12" s="124">
        <v>0.50900000000000001</v>
      </c>
      <c r="JE12" s="124">
        <v>0.33</v>
      </c>
      <c r="JF12" s="124">
        <v>0.495</v>
      </c>
      <c r="JG12" s="124">
        <v>0.17899999999999999</v>
      </c>
      <c r="JH12" s="124">
        <v>0.50800000000000001</v>
      </c>
      <c r="JI12" s="124">
        <v>0.32100000000000001</v>
      </c>
      <c r="JJ12" s="124">
        <v>0</v>
      </c>
      <c r="JK12" s="125">
        <v>0</v>
      </c>
    </row>
    <row r="13" spans="1:271" ht="15" customHeight="1">
      <c r="A13" s="121">
        <v>70</v>
      </c>
      <c r="B13" s="122">
        <v>0.26800000000000002</v>
      </c>
      <c r="C13" s="123">
        <v>6150</v>
      </c>
      <c r="D13" s="123">
        <v>0</v>
      </c>
      <c r="E13" s="124">
        <v>0.36299999999999999</v>
      </c>
      <c r="F13" s="124">
        <v>0.2</v>
      </c>
      <c r="G13" s="124">
        <v>0.372</v>
      </c>
      <c r="H13" s="124">
        <v>0.28499999999999998</v>
      </c>
      <c r="I13" s="124">
        <v>0.376</v>
      </c>
      <c r="J13" s="124">
        <v>0.317</v>
      </c>
      <c r="K13" s="124">
        <v>0.35899999999999999</v>
      </c>
      <c r="L13" s="124">
        <v>0.13</v>
      </c>
      <c r="M13" s="124">
        <v>0.373</v>
      </c>
      <c r="N13" s="124">
        <v>0.309</v>
      </c>
      <c r="O13" s="124">
        <v>0.35799999999999998</v>
      </c>
      <c r="P13" s="125">
        <v>0.11899999999999999</v>
      </c>
      <c r="Q13" s="122">
        <v>0.26800000000000002</v>
      </c>
      <c r="R13" s="123">
        <v>6150</v>
      </c>
      <c r="S13" s="123">
        <v>0</v>
      </c>
      <c r="T13" s="124">
        <v>0.36299999999999999</v>
      </c>
      <c r="U13" s="124">
        <v>0.2</v>
      </c>
      <c r="V13" s="124">
        <v>0.372</v>
      </c>
      <c r="W13" s="124">
        <v>0.28499999999999998</v>
      </c>
      <c r="X13" s="124">
        <v>0.376</v>
      </c>
      <c r="Y13" s="124">
        <v>0.317</v>
      </c>
      <c r="Z13" s="124">
        <v>0.35899999999999999</v>
      </c>
      <c r="AA13" s="124">
        <v>0.13</v>
      </c>
      <c r="AB13" s="124">
        <v>0.373</v>
      </c>
      <c r="AC13" s="124">
        <v>0.309</v>
      </c>
      <c r="AD13" s="124">
        <v>0.35799999999999998</v>
      </c>
      <c r="AE13" s="125">
        <v>0.11899999999999999</v>
      </c>
      <c r="AF13" s="122">
        <v>0.26800000000000002</v>
      </c>
      <c r="AG13" s="123">
        <v>7139</v>
      </c>
      <c r="AH13" s="123">
        <v>0</v>
      </c>
      <c r="AI13" s="124">
        <v>0.36299999999999999</v>
      </c>
      <c r="AJ13" s="124">
        <v>0.20399999999999999</v>
      </c>
      <c r="AK13" s="124">
        <v>0.371</v>
      </c>
      <c r="AL13" s="124">
        <v>0.28499999999999998</v>
      </c>
      <c r="AM13" s="124">
        <v>0.375</v>
      </c>
      <c r="AN13" s="124">
        <v>0.318</v>
      </c>
      <c r="AO13" s="124">
        <v>0.35899999999999999</v>
      </c>
      <c r="AP13" s="124">
        <v>0.13400000000000001</v>
      </c>
      <c r="AQ13" s="124">
        <v>0.373</v>
      </c>
      <c r="AR13" s="124">
        <v>0.309</v>
      </c>
      <c r="AS13" s="124">
        <v>0.35799999999999998</v>
      </c>
      <c r="AT13" s="125">
        <v>0.123</v>
      </c>
      <c r="AU13" s="122">
        <v>0.26800000000000002</v>
      </c>
      <c r="AV13" s="123">
        <v>8949</v>
      </c>
      <c r="AW13" s="123">
        <v>0</v>
      </c>
      <c r="AX13" s="124">
        <v>0.36299999999999999</v>
      </c>
      <c r="AY13" s="124">
        <v>0.21</v>
      </c>
      <c r="AZ13" s="124">
        <v>0.37</v>
      </c>
      <c r="BA13" s="124">
        <v>0.28599999999999998</v>
      </c>
      <c r="BB13" s="124">
        <v>0.374</v>
      </c>
      <c r="BC13" s="124">
        <v>0.318</v>
      </c>
      <c r="BD13" s="124">
        <v>0.35899999999999999</v>
      </c>
      <c r="BE13" s="124">
        <v>0.14099999999999999</v>
      </c>
      <c r="BF13" s="124">
        <v>0.372</v>
      </c>
      <c r="BG13" s="124">
        <v>0.309</v>
      </c>
      <c r="BH13" s="124">
        <v>0.35799999999999998</v>
      </c>
      <c r="BI13" s="125">
        <v>0.13100000000000001</v>
      </c>
      <c r="BJ13" s="122">
        <v>0.26800000000000002</v>
      </c>
      <c r="BK13" s="123">
        <v>11329</v>
      </c>
      <c r="BL13" s="123">
        <v>0</v>
      </c>
      <c r="BM13" s="124">
        <v>0.36299999999999999</v>
      </c>
      <c r="BN13" s="124">
        <v>0.22</v>
      </c>
      <c r="BO13" s="124">
        <v>0.36899999999999999</v>
      </c>
      <c r="BP13" s="124">
        <v>0.28599999999999998</v>
      </c>
      <c r="BQ13" s="124">
        <v>0.373</v>
      </c>
      <c r="BR13" s="124">
        <v>0.318</v>
      </c>
      <c r="BS13" s="124">
        <v>0.35899999999999999</v>
      </c>
      <c r="BT13" s="124">
        <v>0.151</v>
      </c>
      <c r="BU13" s="124">
        <v>0.371</v>
      </c>
      <c r="BV13" s="124">
        <v>0.309</v>
      </c>
      <c r="BW13" s="124">
        <v>0.35799999999999998</v>
      </c>
      <c r="BX13" s="125">
        <v>0.14099999999999999</v>
      </c>
      <c r="BY13" s="124">
        <v>0.26800000000000002</v>
      </c>
      <c r="BZ13" s="123">
        <v>14033</v>
      </c>
      <c r="CA13" s="123">
        <v>0</v>
      </c>
      <c r="CB13" s="124">
        <v>0.36299999999999999</v>
      </c>
      <c r="CC13" s="124">
        <v>0.23100000000000001</v>
      </c>
      <c r="CD13" s="124">
        <v>0.36799999999999999</v>
      </c>
      <c r="CE13" s="124">
        <v>0.28599999999999998</v>
      </c>
      <c r="CF13" s="124">
        <v>0.372</v>
      </c>
      <c r="CG13" s="124">
        <v>0.318</v>
      </c>
      <c r="CH13" s="124">
        <v>0.35899999999999999</v>
      </c>
      <c r="CI13" s="124">
        <v>0.16200000000000001</v>
      </c>
      <c r="CJ13" s="124">
        <v>0.36899999999999999</v>
      </c>
      <c r="CK13" s="124">
        <v>0.309</v>
      </c>
      <c r="CL13" s="124">
        <v>0</v>
      </c>
      <c r="CM13" s="124">
        <v>0</v>
      </c>
      <c r="CN13" s="122">
        <v>0.26800000000000002</v>
      </c>
      <c r="CO13" s="123">
        <v>6150</v>
      </c>
      <c r="CP13" s="123">
        <v>0</v>
      </c>
      <c r="CQ13" s="124">
        <v>0.34799999999999998</v>
      </c>
      <c r="CR13" s="124">
        <v>0.2</v>
      </c>
      <c r="CS13" s="124">
        <v>0.35599999999999998</v>
      </c>
      <c r="CT13" s="124">
        <v>0.28499999999999998</v>
      </c>
      <c r="CU13" s="124">
        <v>0.36</v>
      </c>
      <c r="CV13" s="124">
        <v>0.317</v>
      </c>
      <c r="CW13" s="124">
        <v>0.34399999999999997</v>
      </c>
      <c r="CX13" s="124">
        <v>0.13</v>
      </c>
      <c r="CY13" s="124">
        <v>0.35799999999999998</v>
      </c>
      <c r="CZ13" s="124">
        <v>0.309</v>
      </c>
      <c r="DA13" s="124">
        <v>0.34300000000000003</v>
      </c>
      <c r="DB13" s="125">
        <v>0.11899999999999999</v>
      </c>
      <c r="DC13" s="124">
        <v>0.26800000000000002</v>
      </c>
      <c r="DD13" s="123">
        <v>6150</v>
      </c>
      <c r="DE13" s="123">
        <v>0</v>
      </c>
      <c r="DF13" s="124">
        <v>0.34799999999999998</v>
      </c>
      <c r="DG13" s="124">
        <v>0.2</v>
      </c>
      <c r="DH13" s="124">
        <v>0.35599999999999998</v>
      </c>
      <c r="DI13" s="124">
        <v>0.28499999999999998</v>
      </c>
      <c r="DJ13" s="124">
        <v>0.36</v>
      </c>
      <c r="DK13" s="124">
        <v>0.317</v>
      </c>
      <c r="DL13" s="124">
        <v>0.34399999999999997</v>
      </c>
      <c r="DM13" s="124">
        <v>0.13</v>
      </c>
      <c r="DN13" s="124">
        <v>0.35799999999999998</v>
      </c>
      <c r="DO13" s="124">
        <v>0.309</v>
      </c>
      <c r="DP13" s="124">
        <v>0.34300000000000003</v>
      </c>
      <c r="DQ13" s="124">
        <v>0.11899999999999999</v>
      </c>
      <c r="DR13" s="122">
        <v>0.26800000000000002</v>
      </c>
      <c r="DS13" s="123">
        <v>7139</v>
      </c>
      <c r="DT13" s="123">
        <v>0</v>
      </c>
      <c r="DU13" s="124">
        <v>0.34799999999999998</v>
      </c>
      <c r="DV13" s="124">
        <v>0.20399999999999999</v>
      </c>
      <c r="DW13" s="124">
        <v>0.35499999999999998</v>
      </c>
      <c r="DX13" s="124">
        <v>0.28499999999999998</v>
      </c>
      <c r="DY13" s="124">
        <v>0.36</v>
      </c>
      <c r="DZ13" s="124">
        <v>0.318</v>
      </c>
      <c r="EA13" s="124">
        <v>0.34399999999999997</v>
      </c>
      <c r="EB13" s="124">
        <v>0.13400000000000001</v>
      </c>
      <c r="EC13" s="124">
        <v>0.35699999999999998</v>
      </c>
      <c r="ED13" s="124">
        <v>0.309</v>
      </c>
      <c r="EE13" s="124">
        <v>0.34300000000000003</v>
      </c>
      <c r="EF13" s="125">
        <v>0.123</v>
      </c>
      <c r="EG13" s="124">
        <v>0.26800000000000002</v>
      </c>
      <c r="EH13" s="123">
        <v>8949</v>
      </c>
      <c r="EI13" s="123">
        <v>0</v>
      </c>
      <c r="EJ13" s="124">
        <v>0.34699999999999998</v>
      </c>
      <c r="EK13" s="124">
        <v>0.21</v>
      </c>
      <c r="EL13" s="124">
        <v>0.35499999999999998</v>
      </c>
      <c r="EM13" s="124">
        <v>0.28599999999999998</v>
      </c>
      <c r="EN13" s="124">
        <v>0.35899999999999999</v>
      </c>
      <c r="EO13" s="124">
        <v>0.318</v>
      </c>
      <c r="EP13" s="124">
        <v>0.34300000000000003</v>
      </c>
      <c r="EQ13" s="124">
        <v>0.14099999999999999</v>
      </c>
      <c r="ER13" s="124">
        <v>0.35599999999999998</v>
      </c>
      <c r="ES13" s="124">
        <v>0.309</v>
      </c>
      <c r="ET13" s="124">
        <v>0.34300000000000003</v>
      </c>
      <c r="EU13" s="124">
        <v>0.13100000000000001</v>
      </c>
      <c r="EV13" s="122">
        <v>0.26800000000000002</v>
      </c>
      <c r="EW13" s="123">
        <v>11329</v>
      </c>
      <c r="EX13" s="123">
        <v>0</v>
      </c>
      <c r="EY13" s="124">
        <v>0.34699999999999998</v>
      </c>
      <c r="EZ13" s="124">
        <v>0.22</v>
      </c>
      <c r="FA13" s="124">
        <v>0.35299999999999998</v>
      </c>
      <c r="FB13" s="124">
        <v>0.28599999999999998</v>
      </c>
      <c r="FC13" s="124">
        <v>0.35699999999999998</v>
      </c>
      <c r="FD13" s="124">
        <v>0.318</v>
      </c>
      <c r="FE13" s="124">
        <v>0.34300000000000003</v>
      </c>
      <c r="FF13" s="124">
        <v>0.151</v>
      </c>
      <c r="FG13" s="124">
        <v>0.35499999999999998</v>
      </c>
      <c r="FH13" s="124">
        <v>0.309</v>
      </c>
      <c r="FI13" s="124">
        <v>0.34300000000000003</v>
      </c>
      <c r="FJ13" s="125">
        <v>0.14099999999999999</v>
      </c>
      <c r="FK13" s="124">
        <v>0.26800000000000002</v>
      </c>
      <c r="FL13" s="123">
        <v>14033</v>
      </c>
      <c r="FM13" s="123">
        <v>0</v>
      </c>
      <c r="FN13" s="124">
        <v>0.34699999999999998</v>
      </c>
      <c r="FO13" s="124">
        <v>0.23100000000000001</v>
      </c>
      <c r="FP13" s="124">
        <v>0.35199999999999998</v>
      </c>
      <c r="FQ13" s="124">
        <v>0.28599999999999998</v>
      </c>
      <c r="FR13" s="124">
        <v>0.35599999999999998</v>
      </c>
      <c r="FS13" s="124">
        <v>0.318</v>
      </c>
      <c r="FT13" s="124">
        <v>0.34300000000000003</v>
      </c>
      <c r="FU13" s="124">
        <v>0.16200000000000001</v>
      </c>
      <c r="FV13" s="124">
        <v>0.35299999999999998</v>
      </c>
      <c r="FW13" s="124">
        <v>0.309</v>
      </c>
      <c r="FX13" s="124">
        <v>0</v>
      </c>
      <c r="FY13" s="124">
        <v>0</v>
      </c>
      <c r="FZ13" s="122">
        <v>0.26800000000000002</v>
      </c>
      <c r="GA13" s="123">
        <v>7821</v>
      </c>
      <c r="GB13" s="123">
        <v>8841</v>
      </c>
      <c r="GC13" s="124">
        <v>0.34699999999999998</v>
      </c>
      <c r="GD13" s="124">
        <v>0.20499999999999999</v>
      </c>
      <c r="GE13" s="124">
        <v>0.35399999999999998</v>
      </c>
      <c r="GF13" s="124">
        <v>0.28399999999999997</v>
      </c>
      <c r="GG13" s="124">
        <v>0.35799999999999998</v>
      </c>
      <c r="GH13" s="124">
        <v>0.316</v>
      </c>
      <c r="GI13" s="124">
        <v>0.34300000000000003</v>
      </c>
      <c r="GJ13" s="124">
        <v>0.13600000000000001</v>
      </c>
      <c r="GK13" s="124">
        <v>0.35599999999999998</v>
      </c>
      <c r="GL13" s="124">
        <v>0.307</v>
      </c>
      <c r="GM13" s="124">
        <v>0.34300000000000003</v>
      </c>
      <c r="GN13" s="125">
        <v>0.125</v>
      </c>
      <c r="GO13" s="124">
        <v>0.26800000000000002</v>
      </c>
      <c r="GP13" s="123">
        <v>8651</v>
      </c>
      <c r="GQ13" s="123">
        <v>9779</v>
      </c>
      <c r="GR13" s="124">
        <v>0.34699999999999998</v>
      </c>
      <c r="GS13" s="124">
        <v>0.20799999999999999</v>
      </c>
      <c r="GT13" s="124">
        <v>0.35299999999999998</v>
      </c>
      <c r="GU13" s="124">
        <v>0.28399999999999997</v>
      </c>
      <c r="GV13" s="124">
        <v>0.35699999999999998</v>
      </c>
      <c r="GW13" s="124">
        <v>0.316</v>
      </c>
      <c r="GX13" s="124">
        <v>0.34300000000000003</v>
      </c>
      <c r="GY13" s="124">
        <v>0.13900000000000001</v>
      </c>
      <c r="GZ13" s="124">
        <v>0.35599999999999998</v>
      </c>
      <c r="HA13" s="124">
        <v>0.307</v>
      </c>
      <c r="HB13" s="124">
        <v>0.34300000000000003</v>
      </c>
      <c r="HC13" s="124">
        <v>0.128</v>
      </c>
      <c r="HD13" s="122">
        <v>0.26800000000000002</v>
      </c>
      <c r="HE13" s="123">
        <v>10757</v>
      </c>
      <c r="HF13" s="123">
        <v>12161</v>
      </c>
      <c r="HG13" s="124">
        <v>0.34699999999999998</v>
      </c>
      <c r="HH13" s="124">
        <v>0.215</v>
      </c>
      <c r="HI13" s="124">
        <v>0.35299999999999998</v>
      </c>
      <c r="HJ13" s="124">
        <v>0.28399999999999997</v>
      </c>
      <c r="HK13" s="124">
        <v>0.35599999999999998</v>
      </c>
      <c r="HL13" s="124">
        <v>0.316</v>
      </c>
      <c r="HM13" s="124">
        <v>0.34300000000000003</v>
      </c>
      <c r="HN13" s="124">
        <v>0.14499999999999999</v>
      </c>
      <c r="HO13" s="124">
        <v>0.35499999999999998</v>
      </c>
      <c r="HP13" s="124">
        <v>0.307</v>
      </c>
      <c r="HQ13" s="124">
        <v>0.34300000000000003</v>
      </c>
      <c r="HR13" s="125">
        <v>0.13600000000000001</v>
      </c>
      <c r="HS13" s="124">
        <v>0.26800000000000002</v>
      </c>
      <c r="HT13" s="123">
        <v>12483</v>
      </c>
      <c r="HU13" s="123">
        <v>14111</v>
      </c>
      <c r="HV13" s="124">
        <v>0.34699999999999998</v>
      </c>
      <c r="HW13" s="124">
        <v>0.221</v>
      </c>
      <c r="HX13" s="124">
        <v>0.35199999999999998</v>
      </c>
      <c r="HY13" s="124">
        <v>0.28399999999999997</v>
      </c>
      <c r="HZ13" s="124">
        <v>0.35499999999999998</v>
      </c>
      <c r="IA13" s="124">
        <v>0.316</v>
      </c>
      <c r="IB13" s="124">
        <v>0.34300000000000003</v>
      </c>
      <c r="IC13" s="124">
        <v>0.152</v>
      </c>
      <c r="ID13" s="124">
        <v>0.35399999999999998</v>
      </c>
      <c r="IE13" s="124">
        <v>0.307</v>
      </c>
      <c r="IF13" s="124">
        <v>0.34300000000000003</v>
      </c>
      <c r="IG13" s="124">
        <v>0.14199999999999999</v>
      </c>
      <c r="IH13" s="122">
        <v>0.26800000000000002</v>
      </c>
      <c r="II13" s="123">
        <v>14508</v>
      </c>
      <c r="IJ13" s="123">
        <v>15537</v>
      </c>
      <c r="IK13" s="124">
        <v>0.34799999999999998</v>
      </c>
      <c r="IL13" s="124">
        <v>0.22800000000000001</v>
      </c>
      <c r="IM13" s="124">
        <v>0.35399999999999998</v>
      </c>
      <c r="IN13" s="124">
        <v>0.28399999999999997</v>
      </c>
      <c r="IO13" s="124">
        <v>0.35799999999999998</v>
      </c>
      <c r="IP13" s="124">
        <v>0.316</v>
      </c>
      <c r="IQ13" s="124">
        <v>0.34399999999999997</v>
      </c>
      <c r="IR13" s="124">
        <v>0.159</v>
      </c>
      <c r="IS13" s="124">
        <v>0.35699999999999998</v>
      </c>
      <c r="IT13" s="124">
        <v>0.307</v>
      </c>
      <c r="IU13" s="124">
        <v>0.34300000000000003</v>
      </c>
      <c r="IV13" s="125">
        <v>0.15</v>
      </c>
      <c r="IW13" s="124">
        <v>0.26800000000000002</v>
      </c>
      <c r="IX13" s="123">
        <v>17244</v>
      </c>
      <c r="IY13" s="123">
        <v>18433</v>
      </c>
      <c r="IZ13" s="124">
        <v>0.34799999999999998</v>
      </c>
      <c r="JA13" s="124">
        <v>0.23799999999999999</v>
      </c>
      <c r="JB13" s="124">
        <v>0.35299999999999998</v>
      </c>
      <c r="JC13" s="124">
        <v>0.28399999999999997</v>
      </c>
      <c r="JD13" s="124">
        <v>0.35699999999999998</v>
      </c>
      <c r="JE13" s="124">
        <v>0.316</v>
      </c>
      <c r="JF13" s="124">
        <v>0.34399999999999997</v>
      </c>
      <c r="JG13" s="124">
        <v>0.16800000000000001</v>
      </c>
      <c r="JH13" s="124">
        <v>0.35599999999999998</v>
      </c>
      <c r="JI13" s="124">
        <v>0.307</v>
      </c>
      <c r="JJ13" s="124">
        <v>0</v>
      </c>
      <c r="JK13" s="125">
        <v>0</v>
      </c>
    </row>
    <row r="14" spans="1:271" ht="15" customHeight="1">
      <c r="A14" s="121">
        <v>95</v>
      </c>
      <c r="B14" s="122">
        <v>0.193</v>
      </c>
      <c r="C14" s="123">
        <v>5467</v>
      </c>
      <c r="D14" s="123">
        <v>0</v>
      </c>
      <c r="E14" s="124">
        <v>0.26300000000000001</v>
      </c>
      <c r="F14" s="124">
        <v>0.19400000000000001</v>
      </c>
      <c r="G14" s="124">
        <v>0.27100000000000002</v>
      </c>
      <c r="H14" s="124">
        <v>0.27400000000000002</v>
      </c>
      <c r="I14" s="124">
        <v>0.27500000000000002</v>
      </c>
      <c r="J14" s="124">
        <v>0.30599999999999999</v>
      </c>
      <c r="K14" s="124">
        <v>0.26</v>
      </c>
      <c r="L14" s="124">
        <v>0.125</v>
      </c>
      <c r="M14" s="124">
        <v>0.27300000000000002</v>
      </c>
      <c r="N14" s="124">
        <v>0.29699999999999999</v>
      </c>
      <c r="O14" s="124">
        <v>0.25900000000000001</v>
      </c>
      <c r="P14" s="125">
        <v>0.114</v>
      </c>
      <c r="Q14" s="122">
        <v>0.193</v>
      </c>
      <c r="R14" s="123">
        <v>5467</v>
      </c>
      <c r="S14" s="123">
        <v>0</v>
      </c>
      <c r="T14" s="124">
        <v>0.26300000000000001</v>
      </c>
      <c r="U14" s="124">
        <v>0.19400000000000001</v>
      </c>
      <c r="V14" s="124">
        <v>0.27100000000000002</v>
      </c>
      <c r="W14" s="124">
        <v>0.27400000000000002</v>
      </c>
      <c r="X14" s="124">
        <v>0.27500000000000002</v>
      </c>
      <c r="Y14" s="124">
        <v>0.30599999999999999</v>
      </c>
      <c r="Z14" s="124">
        <v>0.26</v>
      </c>
      <c r="AA14" s="124">
        <v>0.125</v>
      </c>
      <c r="AB14" s="124">
        <v>0.27300000000000002</v>
      </c>
      <c r="AC14" s="124">
        <v>0.29699999999999999</v>
      </c>
      <c r="AD14" s="124">
        <v>0.25900000000000001</v>
      </c>
      <c r="AE14" s="125">
        <v>0.114</v>
      </c>
      <c r="AF14" s="122">
        <v>0.193</v>
      </c>
      <c r="AG14" s="123">
        <v>6366</v>
      </c>
      <c r="AH14" s="123">
        <v>0</v>
      </c>
      <c r="AI14" s="124">
        <v>0.26300000000000001</v>
      </c>
      <c r="AJ14" s="124">
        <v>0.19700000000000001</v>
      </c>
      <c r="AK14" s="124">
        <v>0.27100000000000002</v>
      </c>
      <c r="AL14" s="124">
        <v>0.27400000000000002</v>
      </c>
      <c r="AM14" s="124">
        <v>0.27500000000000002</v>
      </c>
      <c r="AN14" s="124">
        <v>0.30599999999999999</v>
      </c>
      <c r="AO14" s="124">
        <v>0.26</v>
      </c>
      <c r="AP14" s="124">
        <v>0.128</v>
      </c>
      <c r="AQ14" s="124">
        <v>0.27200000000000002</v>
      </c>
      <c r="AR14" s="124">
        <v>0.29699999999999999</v>
      </c>
      <c r="AS14" s="124">
        <v>0.25900000000000001</v>
      </c>
      <c r="AT14" s="125">
        <v>0.11799999999999999</v>
      </c>
      <c r="AU14" s="122">
        <v>0.193</v>
      </c>
      <c r="AV14" s="123">
        <v>8025</v>
      </c>
      <c r="AW14" s="123">
        <v>0</v>
      </c>
      <c r="AX14" s="124">
        <v>0.26300000000000001</v>
      </c>
      <c r="AY14" s="124">
        <v>0.20399999999999999</v>
      </c>
      <c r="AZ14" s="124">
        <v>0.27</v>
      </c>
      <c r="BA14" s="124">
        <v>0.27400000000000002</v>
      </c>
      <c r="BB14" s="124">
        <v>0.27400000000000002</v>
      </c>
      <c r="BC14" s="124">
        <v>0.30599999999999999</v>
      </c>
      <c r="BD14" s="124">
        <v>0.25900000000000001</v>
      </c>
      <c r="BE14" s="124">
        <v>0.13500000000000001</v>
      </c>
      <c r="BF14" s="124">
        <v>0.27100000000000002</v>
      </c>
      <c r="BG14" s="124">
        <v>0.29699999999999999</v>
      </c>
      <c r="BH14" s="124">
        <v>0.25900000000000001</v>
      </c>
      <c r="BI14" s="125">
        <v>0.125</v>
      </c>
      <c r="BJ14" s="122">
        <v>0.193</v>
      </c>
      <c r="BK14" s="123">
        <v>10229</v>
      </c>
      <c r="BL14" s="123">
        <v>0</v>
      </c>
      <c r="BM14" s="124">
        <v>0.26300000000000001</v>
      </c>
      <c r="BN14" s="124">
        <v>0.21299999999999999</v>
      </c>
      <c r="BO14" s="124">
        <v>0.26900000000000002</v>
      </c>
      <c r="BP14" s="124">
        <v>0.27400000000000002</v>
      </c>
      <c r="BQ14" s="124">
        <v>0.27200000000000002</v>
      </c>
      <c r="BR14" s="124">
        <v>0.30599999999999999</v>
      </c>
      <c r="BS14" s="124">
        <v>0.25900000000000001</v>
      </c>
      <c r="BT14" s="124">
        <v>0.14399999999999999</v>
      </c>
      <c r="BU14" s="124">
        <v>0.27</v>
      </c>
      <c r="BV14" s="124">
        <v>0.29699999999999999</v>
      </c>
      <c r="BW14" s="124">
        <v>0.25900000000000001</v>
      </c>
      <c r="BX14" s="125">
        <v>0.13400000000000001</v>
      </c>
      <c r="BY14" s="124">
        <v>0.193</v>
      </c>
      <c r="BZ14" s="123">
        <v>12761</v>
      </c>
      <c r="CA14" s="123">
        <v>0</v>
      </c>
      <c r="CB14" s="124">
        <v>0.26300000000000001</v>
      </c>
      <c r="CC14" s="124">
        <v>0.223</v>
      </c>
      <c r="CD14" s="124">
        <v>0.26800000000000002</v>
      </c>
      <c r="CE14" s="124">
        <v>0.27400000000000002</v>
      </c>
      <c r="CF14" s="124">
        <v>0.27100000000000002</v>
      </c>
      <c r="CG14" s="124">
        <v>0.30599999999999999</v>
      </c>
      <c r="CH14" s="124">
        <v>0.25900000000000001</v>
      </c>
      <c r="CI14" s="124">
        <v>0.154</v>
      </c>
      <c r="CJ14" s="124">
        <v>0.26900000000000002</v>
      </c>
      <c r="CK14" s="124">
        <v>0.29799999999999999</v>
      </c>
      <c r="CL14" s="124">
        <v>0</v>
      </c>
      <c r="CM14" s="124">
        <v>0</v>
      </c>
      <c r="CN14" s="122">
        <v>0.193</v>
      </c>
      <c r="CO14" s="123">
        <v>5467</v>
      </c>
      <c r="CP14" s="123">
        <v>0</v>
      </c>
      <c r="CQ14" s="124">
        <v>0.252</v>
      </c>
      <c r="CR14" s="124">
        <v>0.19400000000000001</v>
      </c>
      <c r="CS14" s="124">
        <v>0.26</v>
      </c>
      <c r="CT14" s="124">
        <v>0.27400000000000002</v>
      </c>
      <c r="CU14" s="124">
        <v>0.26400000000000001</v>
      </c>
      <c r="CV14" s="124">
        <v>0.30599999999999999</v>
      </c>
      <c r="CW14" s="124">
        <v>0.248</v>
      </c>
      <c r="CX14" s="124">
        <v>0.125</v>
      </c>
      <c r="CY14" s="124">
        <v>0.26100000000000001</v>
      </c>
      <c r="CZ14" s="124">
        <v>0.29699999999999999</v>
      </c>
      <c r="DA14" s="124">
        <v>0.248</v>
      </c>
      <c r="DB14" s="125">
        <v>0.114</v>
      </c>
      <c r="DC14" s="124">
        <v>0.193</v>
      </c>
      <c r="DD14" s="123">
        <v>5467</v>
      </c>
      <c r="DE14" s="123">
        <v>0</v>
      </c>
      <c r="DF14" s="124">
        <v>0.252</v>
      </c>
      <c r="DG14" s="124">
        <v>0.19400000000000001</v>
      </c>
      <c r="DH14" s="124">
        <v>0.26</v>
      </c>
      <c r="DI14" s="124">
        <v>0.27400000000000002</v>
      </c>
      <c r="DJ14" s="124">
        <v>0.26400000000000001</v>
      </c>
      <c r="DK14" s="124">
        <v>0.30599999999999999</v>
      </c>
      <c r="DL14" s="124">
        <v>0.248</v>
      </c>
      <c r="DM14" s="124">
        <v>0.125</v>
      </c>
      <c r="DN14" s="124">
        <v>0.26100000000000001</v>
      </c>
      <c r="DO14" s="124">
        <v>0.29699999999999999</v>
      </c>
      <c r="DP14" s="124">
        <v>0.248</v>
      </c>
      <c r="DQ14" s="124">
        <v>0.114</v>
      </c>
      <c r="DR14" s="122">
        <v>0.193</v>
      </c>
      <c r="DS14" s="123">
        <v>6366</v>
      </c>
      <c r="DT14" s="123">
        <v>0</v>
      </c>
      <c r="DU14" s="124">
        <v>0.252</v>
      </c>
      <c r="DV14" s="124">
        <v>0.19700000000000001</v>
      </c>
      <c r="DW14" s="124">
        <v>0.25900000000000001</v>
      </c>
      <c r="DX14" s="124">
        <v>0.27400000000000002</v>
      </c>
      <c r="DY14" s="124">
        <v>0.26300000000000001</v>
      </c>
      <c r="DZ14" s="124">
        <v>0.30599999999999999</v>
      </c>
      <c r="EA14" s="124">
        <v>0.248</v>
      </c>
      <c r="EB14" s="124">
        <v>0.128</v>
      </c>
      <c r="EC14" s="124">
        <v>0.26100000000000001</v>
      </c>
      <c r="ED14" s="124">
        <v>0.29699999999999999</v>
      </c>
      <c r="EE14" s="124">
        <v>0.247</v>
      </c>
      <c r="EF14" s="125">
        <v>0.11799999999999999</v>
      </c>
      <c r="EG14" s="124">
        <v>0.193</v>
      </c>
      <c r="EH14" s="123">
        <v>8025</v>
      </c>
      <c r="EI14" s="123">
        <v>0</v>
      </c>
      <c r="EJ14" s="124">
        <v>0.252</v>
      </c>
      <c r="EK14" s="124">
        <v>0.20399999999999999</v>
      </c>
      <c r="EL14" s="124">
        <v>0.25800000000000001</v>
      </c>
      <c r="EM14" s="124">
        <v>0.27400000000000002</v>
      </c>
      <c r="EN14" s="124">
        <v>0.26200000000000001</v>
      </c>
      <c r="EO14" s="124">
        <v>0.30599999999999999</v>
      </c>
      <c r="EP14" s="124">
        <v>0.248</v>
      </c>
      <c r="EQ14" s="124">
        <v>0.13500000000000001</v>
      </c>
      <c r="ER14" s="124">
        <v>0.26</v>
      </c>
      <c r="ES14" s="124">
        <v>0.29699999999999999</v>
      </c>
      <c r="ET14" s="124">
        <v>0.247</v>
      </c>
      <c r="EU14" s="124">
        <v>0.125</v>
      </c>
      <c r="EV14" s="122">
        <v>0.193</v>
      </c>
      <c r="EW14" s="123">
        <v>10229</v>
      </c>
      <c r="EX14" s="123">
        <v>0</v>
      </c>
      <c r="EY14" s="124">
        <v>0.252</v>
      </c>
      <c r="EZ14" s="124">
        <v>0.21299999999999999</v>
      </c>
      <c r="FA14" s="124">
        <v>0.25700000000000001</v>
      </c>
      <c r="FB14" s="124">
        <v>0.27400000000000002</v>
      </c>
      <c r="FC14" s="124">
        <v>0.26100000000000001</v>
      </c>
      <c r="FD14" s="124">
        <v>0.30599999999999999</v>
      </c>
      <c r="FE14" s="124">
        <v>0.248</v>
      </c>
      <c r="FF14" s="124">
        <v>0.14399999999999999</v>
      </c>
      <c r="FG14" s="124">
        <v>0.25900000000000001</v>
      </c>
      <c r="FH14" s="124">
        <v>0.29699999999999999</v>
      </c>
      <c r="FI14" s="124">
        <v>0.247</v>
      </c>
      <c r="FJ14" s="125">
        <v>0.13400000000000001</v>
      </c>
      <c r="FK14" s="124">
        <v>0.193</v>
      </c>
      <c r="FL14" s="123">
        <v>12761</v>
      </c>
      <c r="FM14" s="123">
        <v>0</v>
      </c>
      <c r="FN14" s="124">
        <v>0.252</v>
      </c>
      <c r="FO14" s="124">
        <v>0.223</v>
      </c>
      <c r="FP14" s="124">
        <v>0.25600000000000001</v>
      </c>
      <c r="FQ14" s="124">
        <v>0.27400000000000002</v>
      </c>
      <c r="FR14" s="124">
        <v>0.26</v>
      </c>
      <c r="FS14" s="124">
        <v>0.30599999999999999</v>
      </c>
      <c r="FT14" s="124">
        <v>0.248</v>
      </c>
      <c r="FU14" s="124">
        <v>0.154</v>
      </c>
      <c r="FV14" s="124">
        <v>0.25700000000000001</v>
      </c>
      <c r="FW14" s="124">
        <v>0.29799999999999999</v>
      </c>
      <c r="FX14" s="124">
        <v>0</v>
      </c>
      <c r="FY14" s="124">
        <v>0</v>
      </c>
      <c r="FZ14" s="122">
        <v>0.193</v>
      </c>
      <c r="GA14" s="123">
        <v>6946</v>
      </c>
      <c r="GB14" s="123">
        <v>7852</v>
      </c>
      <c r="GC14" s="124">
        <v>0.251</v>
      </c>
      <c r="GD14" s="124">
        <v>0.19900000000000001</v>
      </c>
      <c r="GE14" s="124">
        <v>0.25800000000000001</v>
      </c>
      <c r="GF14" s="124">
        <v>0.27100000000000002</v>
      </c>
      <c r="GG14" s="124">
        <v>0.26100000000000001</v>
      </c>
      <c r="GH14" s="124">
        <v>0.30299999999999999</v>
      </c>
      <c r="GI14" s="124">
        <v>0.248</v>
      </c>
      <c r="GJ14" s="124">
        <v>0.129</v>
      </c>
      <c r="GK14" s="124">
        <v>0.26</v>
      </c>
      <c r="GL14" s="124">
        <v>0.29499999999999998</v>
      </c>
      <c r="GM14" s="124">
        <v>0.248</v>
      </c>
      <c r="GN14" s="125">
        <v>0.11899999999999999</v>
      </c>
      <c r="GO14" s="124">
        <v>0.193</v>
      </c>
      <c r="GP14" s="123">
        <v>7702</v>
      </c>
      <c r="GQ14" s="123">
        <v>8706</v>
      </c>
      <c r="GR14" s="124">
        <v>0.251</v>
      </c>
      <c r="GS14" s="124">
        <v>0.20100000000000001</v>
      </c>
      <c r="GT14" s="124">
        <v>0.25800000000000001</v>
      </c>
      <c r="GU14" s="124">
        <v>0.27100000000000002</v>
      </c>
      <c r="GV14" s="124">
        <v>0.26100000000000001</v>
      </c>
      <c r="GW14" s="124">
        <v>0.30299999999999999</v>
      </c>
      <c r="GX14" s="124">
        <v>0.248</v>
      </c>
      <c r="GY14" s="124">
        <v>0.13200000000000001</v>
      </c>
      <c r="GZ14" s="124">
        <v>0.26</v>
      </c>
      <c r="HA14" s="124">
        <v>0.29499999999999998</v>
      </c>
      <c r="HB14" s="124">
        <v>0.248</v>
      </c>
      <c r="HC14" s="124">
        <v>0.122</v>
      </c>
      <c r="HD14" s="122">
        <v>0.193</v>
      </c>
      <c r="HE14" s="123">
        <v>9632</v>
      </c>
      <c r="HF14" s="123">
        <v>10888</v>
      </c>
      <c r="HG14" s="124">
        <v>0.251</v>
      </c>
      <c r="HH14" s="124">
        <v>0.20799999999999999</v>
      </c>
      <c r="HI14" s="124">
        <v>0.25700000000000001</v>
      </c>
      <c r="HJ14" s="124">
        <v>0.27100000000000002</v>
      </c>
      <c r="HK14" s="124">
        <v>0.26</v>
      </c>
      <c r="HL14" s="124">
        <v>0.30399999999999999</v>
      </c>
      <c r="HM14" s="124">
        <v>0.248</v>
      </c>
      <c r="HN14" s="124">
        <v>0.13800000000000001</v>
      </c>
      <c r="HO14" s="124">
        <v>0.25900000000000001</v>
      </c>
      <c r="HP14" s="124">
        <v>0.29499999999999998</v>
      </c>
      <c r="HQ14" s="124">
        <v>0.248</v>
      </c>
      <c r="HR14" s="125">
        <v>0.129</v>
      </c>
      <c r="HS14" s="124">
        <v>0.193</v>
      </c>
      <c r="HT14" s="123">
        <v>11226</v>
      </c>
      <c r="HU14" s="123">
        <v>12691</v>
      </c>
      <c r="HV14" s="124">
        <v>0.253</v>
      </c>
      <c r="HW14" s="124">
        <v>0.214</v>
      </c>
      <c r="HX14" s="124">
        <v>0.25900000000000001</v>
      </c>
      <c r="HY14" s="124">
        <v>0.27100000000000002</v>
      </c>
      <c r="HZ14" s="124">
        <v>0.26300000000000001</v>
      </c>
      <c r="IA14" s="124">
        <v>0.30299999999999999</v>
      </c>
      <c r="IB14" s="124">
        <v>0.248</v>
      </c>
      <c r="IC14" s="124">
        <v>0.14399999999999999</v>
      </c>
      <c r="ID14" s="124">
        <v>0.26200000000000001</v>
      </c>
      <c r="IE14" s="124">
        <v>0.29499999999999998</v>
      </c>
      <c r="IF14" s="124">
        <v>0.248</v>
      </c>
      <c r="IG14" s="124">
        <v>0.13500000000000001</v>
      </c>
      <c r="IH14" s="122">
        <v>0.193</v>
      </c>
      <c r="II14" s="123">
        <v>13111</v>
      </c>
      <c r="IJ14" s="123">
        <v>13997</v>
      </c>
      <c r="IK14" s="124">
        <v>0.252</v>
      </c>
      <c r="IL14" s="124">
        <v>0.22</v>
      </c>
      <c r="IM14" s="124">
        <v>0.25800000000000001</v>
      </c>
      <c r="IN14" s="124">
        <v>0.27100000000000002</v>
      </c>
      <c r="IO14" s="124">
        <v>0.26200000000000001</v>
      </c>
      <c r="IP14" s="124">
        <v>0.30299999999999999</v>
      </c>
      <c r="IQ14" s="124">
        <v>0.248</v>
      </c>
      <c r="IR14" s="124">
        <v>0.151</v>
      </c>
      <c r="IS14" s="124">
        <v>0.26100000000000001</v>
      </c>
      <c r="IT14" s="124">
        <v>0.29499999999999998</v>
      </c>
      <c r="IU14" s="124">
        <v>0.248</v>
      </c>
      <c r="IV14" s="125">
        <v>0.14199999999999999</v>
      </c>
      <c r="IW14" s="124">
        <v>0.193</v>
      </c>
      <c r="IX14" s="123">
        <v>15680</v>
      </c>
      <c r="IY14" s="123">
        <v>16713</v>
      </c>
      <c r="IZ14" s="124">
        <v>0.252</v>
      </c>
      <c r="JA14" s="124">
        <v>0.22900000000000001</v>
      </c>
      <c r="JB14" s="124">
        <v>0.25700000000000001</v>
      </c>
      <c r="JC14" s="124">
        <v>0.27100000000000002</v>
      </c>
      <c r="JD14" s="124">
        <v>0.26100000000000001</v>
      </c>
      <c r="JE14" s="124">
        <v>0.30299999999999999</v>
      </c>
      <c r="JF14" s="124">
        <v>0.248</v>
      </c>
      <c r="JG14" s="124">
        <v>0.16</v>
      </c>
      <c r="JH14" s="124">
        <v>0.26</v>
      </c>
      <c r="JI14" s="124">
        <v>0.29499999999999998</v>
      </c>
      <c r="JJ14" s="124">
        <v>0</v>
      </c>
      <c r="JK14" s="125">
        <v>0</v>
      </c>
    </row>
    <row r="15" spans="1:271" ht="15" customHeight="1">
      <c r="A15" s="121">
        <v>120</v>
      </c>
      <c r="B15" s="122">
        <v>0.153</v>
      </c>
      <c r="C15" s="123">
        <v>4983</v>
      </c>
      <c r="D15" s="123">
        <v>0</v>
      </c>
      <c r="E15" s="124">
        <v>0.21</v>
      </c>
      <c r="F15" s="124">
        <v>0.19</v>
      </c>
      <c r="G15" s="124">
        <v>0.217</v>
      </c>
      <c r="H15" s="124">
        <v>0.26500000000000001</v>
      </c>
      <c r="I15" s="124">
        <v>0.221</v>
      </c>
      <c r="J15" s="124">
        <v>0.29699999999999999</v>
      </c>
      <c r="K15" s="124">
        <v>0.20699999999999999</v>
      </c>
      <c r="L15" s="124">
        <v>0.12</v>
      </c>
      <c r="M15" s="124">
        <v>0.219</v>
      </c>
      <c r="N15" s="124">
        <v>0.28799999999999998</v>
      </c>
      <c r="O15" s="124">
        <v>0.20599999999999999</v>
      </c>
      <c r="P15" s="125">
        <v>0.11</v>
      </c>
      <c r="Q15" s="122">
        <v>0.153</v>
      </c>
      <c r="R15" s="123">
        <v>4983</v>
      </c>
      <c r="S15" s="123">
        <v>0</v>
      </c>
      <c r="T15" s="124">
        <v>0.21</v>
      </c>
      <c r="U15" s="124">
        <v>0.19</v>
      </c>
      <c r="V15" s="124">
        <v>0.217</v>
      </c>
      <c r="W15" s="124">
        <v>0.26500000000000001</v>
      </c>
      <c r="X15" s="124">
        <v>0.221</v>
      </c>
      <c r="Y15" s="124">
        <v>0.29699999999999999</v>
      </c>
      <c r="Z15" s="124">
        <v>0.20699999999999999</v>
      </c>
      <c r="AA15" s="124">
        <v>0.12</v>
      </c>
      <c r="AB15" s="124">
        <v>0.219</v>
      </c>
      <c r="AC15" s="124">
        <v>0.28799999999999998</v>
      </c>
      <c r="AD15" s="124">
        <v>0.20599999999999999</v>
      </c>
      <c r="AE15" s="125">
        <v>0.11</v>
      </c>
      <c r="AF15" s="122">
        <v>0.153</v>
      </c>
      <c r="AG15" s="123">
        <v>5816</v>
      </c>
      <c r="AH15" s="123">
        <v>0</v>
      </c>
      <c r="AI15" s="124">
        <v>0.21</v>
      </c>
      <c r="AJ15" s="124">
        <v>0.193</v>
      </c>
      <c r="AK15" s="124">
        <v>0.217</v>
      </c>
      <c r="AL15" s="124">
        <v>0.26500000000000001</v>
      </c>
      <c r="AM15" s="124">
        <v>0.221</v>
      </c>
      <c r="AN15" s="124">
        <v>0.29699999999999999</v>
      </c>
      <c r="AO15" s="124">
        <v>0.20599999999999999</v>
      </c>
      <c r="AP15" s="124">
        <v>0.124</v>
      </c>
      <c r="AQ15" s="124">
        <v>0.218</v>
      </c>
      <c r="AR15" s="124">
        <v>0.28799999999999998</v>
      </c>
      <c r="AS15" s="124">
        <v>0.20599999999999999</v>
      </c>
      <c r="AT15" s="125">
        <v>0.114</v>
      </c>
      <c r="AU15" s="122">
        <v>0.153</v>
      </c>
      <c r="AV15" s="123">
        <v>7363</v>
      </c>
      <c r="AW15" s="123">
        <v>0</v>
      </c>
      <c r="AX15" s="124">
        <v>0.21</v>
      </c>
      <c r="AY15" s="124">
        <v>0.19900000000000001</v>
      </c>
      <c r="AZ15" s="124">
        <v>0.216</v>
      </c>
      <c r="BA15" s="124">
        <v>0.26500000000000001</v>
      </c>
      <c r="BB15" s="124">
        <v>0.22</v>
      </c>
      <c r="BC15" s="124">
        <v>0.29699999999999999</v>
      </c>
      <c r="BD15" s="124">
        <v>0.20599999999999999</v>
      </c>
      <c r="BE15" s="124">
        <v>0.13</v>
      </c>
      <c r="BF15" s="124">
        <v>0.217</v>
      </c>
      <c r="BG15" s="124">
        <v>0.28799999999999998</v>
      </c>
      <c r="BH15" s="124">
        <v>0.20599999999999999</v>
      </c>
      <c r="BI15" s="125">
        <v>0.12</v>
      </c>
      <c r="BJ15" s="122">
        <v>0.153</v>
      </c>
      <c r="BK15" s="123">
        <v>9433</v>
      </c>
      <c r="BL15" s="123">
        <v>0</v>
      </c>
      <c r="BM15" s="124">
        <v>0.21</v>
      </c>
      <c r="BN15" s="124">
        <v>0.20799999999999999</v>
      </c>
      <c r="BO15" s="124">
        <v>0.215</v>
      </c>
      <c r="BP15" s="124">
        <v>0.26500000000000001</v>
      </c>
      <c r="BQ15" s="124">
        <v>0.219</v>
      </c>
      <c r="BR15" s="124">
        <v>0.29699999999999999</v>
      </c>
      <c r="BS15" s="124">
        <v>0.20599999999999999</v>
      </c>
      <c r="BT15" s="124">
        <v>0.13800000000000001</v>
      </c>
      <c r="BU15" s="124">
        <v>0.216</v>
      </c>
      <c r="BV15" s="124">
        <v>0.28799999999999998</v>
      </c>
      <c r="BW15" s="124">
        <v>0.20499999999999999</v>
      </c>
      <c r="BX15" s="125">
        <v>0.129</v>
      </c>
      <c r="BY15" s="124">
        <v>0.153</v>
      </c>
      <c r="BZ15" s="123">
        <v>11831</v>
      </c>
      <c r="CA15" s="123">
        <v>0</v>
      </c>
      <c r="CB15" s="124">
        <v>0.21</v>
      </c>
      <c r="CC15" s="124">
        <v>0.218</v>
      </c>
      <c r="CD15" s="124">
        <v>0.214</v>
      </c>
      <c r="CE15" s="124">
        <v>0.26500000000000001</v>
      </c>
      <c r="CF15" s="124">
        <v>0.217</v>
      </c>
      <c r="CG15" s="124">
        <v>0.29699999999999999</v>
      </c>
      <c r="CH15" s="124">
        <v>0.20599999999999999</v>
      </c>
      <c r="CI15" s="124">
        <v>0.14799999999999999</v>
      </c>
      <c r="CJ15" s="124">
        <v>0.215</v>
      </c>
      <c r="CK15" s="124">
        <v>0.28899999999999998</v>
      </c>
      <c r="CL15" s="124">
        <v>0</v>
      </c>
      <c r="CM15" s="124">
        <v>0</v>
      </c>
      <c r="CN15" s="122">
        <v>0.153</v>
      </c>
      <c r="CO15" s="123">
        <v>4983</v>
      </c>
      <c r="CP15" s="123">
        <v>0</v>
      </c>
      <c r="CQ15" s="124">
        <v>0.20100000000000001</v>
      </c>
      <c r="CR15" s="124">
        <v>0.19</v>
      </c>
      <c r="CS15" s="124">
        <v>0.20799999999999999</v>
      </c>
      <c r="CT15" s="124">
        <v>0.26500000000000001</v>
      </c>
      <c r="CU15" s="124">
        <v>0.21199999999999999</v>
      </c>
      <c r="CV15" s="124">
        <v>0.29699999999999999</v>
      </c>
      <c r="CW15" s="124">
        <v>0.19800000000000001</v>
      </c>
      <c r="CX15" s="124">
        <v>0.12</v>
      </c>
      <c r="CY15" s="124">
        <v>0.21</v>
      </c>
      <c r="CZ15" s="124">
        <v>0.28799999999999998</v>
      </c>
      <c r="DA15" s="124">
        <v>0.19700000000000001</v>
      </c>
      <c r="DB15" s="125">
        <v>0.11</v>
      </c>
      <c r="DC15" s="124">
        <v>0.153</v>
      </c>
      <c r="DD15" s="123">
        <v>4983</v>
      </c>
      <c r="DE15" s="123">
        <v>0</v>
      </c>
      <c r="DF15" s="124">
        <v>0.20100000000000001</v>
      </c>
      <c r="DG15" s="124">
        <v>0.19</v>
      </c>
      <c r="DH15" s="124">
        <v>0.20799999999999999</v>
      </c>
      <c r="DI15" s="124">
        <v>0.26500000000000001</v>
      </c>
      <c r="DJ15" s="124">
        <v>0.21199999999999999</v>
      </c>
      <c r="DK15" s="124">
        <v>0.29699999999999999</v>
      </c>
      <c r="DL15" s="124">
        <v>0.19800000000000001</v>
      </c>
      <c r="DM15" s="124">
        <v>0.12</v>
      </c>
      <c r="DN15" s="124">
        <v>0.21</v>
      </c>
      <c r="DO15" s="124">
        <v>0.28799999999999998</v>
      </c>
      <c r="DP15" s="124">
        <v>0.19700000000000001</v>
      </c>
      <c r="DQ15" s="124">
        <v>0.11</v>
      </c>
      <c r="DR15" s="122">
        <v>0.153</v>
      </c>
      <c r="DS15" s="123">
        <v>5816</v>
      </c>
      <c r="DT15" s="123">
        <v>0</v>
      </c>
      <c r="DU15" s="124">
        <v>0.20100000000000001</v>
      </c>
      <c r="DV15" s="124">
        <v>0.193</v>
      </c>
      <c r="DW15" s="124">
        <v>0.20799999999999999</v>
      </c>
      <c r="DX15" s="124">
        <v>0.26500000000000001</v>
      </c>
      <c r="DY15" s="124">
        <v>0.21199999999999999</v>
      </c>
      <c r="DZ15" s="124">
        <v>0.29699999999999999</v>
      </c>
      <c r="EA15" s="124">
        <v>0.19700000000000001</v>
      </c>
      <c r="EB15" s="124">
        <v>0.124</v>
      </c>
      <c r="EC15" s="124">
        <v>0.20899999999999999</v>
      </c>
      <c r="ED15" s="124">
        <v>0.28799999999999998</v>
      </c>
      <c r="EE15" s="124">
        <v>0.19700000000000001</v>
      </c>
      <c r="EF15" s="125">
        <v>0.114</v>
      </c>
      <c r="EG15" s="124">
        <v>0.153</v>
      </c>
      <c r="EH15" s="123">
        <v>7363</v>
      </c>
      <c r="EI15" s="123">
        <v>0</v>
      </c>
      <c r="EJ15" s="124">
        <v>0.20100000000000001</v>
      </c>
      <c r="EK15" s="124">
        <v>0.19900000000000001</v>
      </c>
      <c r="EL15" s="124">
        <v>0.20699999999999999</v>
      </c>
      <c r="EM15" s="124">
        <v>0.26500000000000001</v>
      </c>
      <c r="EN15" s="124">
        <v>0.21099999999999999</v>
      </c>
      <c r="EO15" s="124">
        <v>0.29699999999999999</v>
      </c>
      <c r="EP15" s="124">
        <v>0.19700000000000001</v>
      </c>
      <c r="EQ15" s="124">
        <v>0.13</v>
      </c>
      <c r="ER15" s="124">
        <v>0.20799999999999999</v>
      </c>
      <c r="ES15" s="124">
        <v>0.28799999999999998</v>
      </c>
      <c r="ET15" s="124">
        <v>0.19700000000000001</v>
      </c>
      <c r="EU15" s="124">
        <v>0.12</v>
      </c>
      <c r="EV15" s="122">
        <v>0.153</v>
      </c>
      <c r="EW15" s="123">
        <v>9433</v>
      </c>
      <c r="EX15" s="123">
        <v>0</v>
      </c>
      <c r="EY15" s="124">
        <v>0.20100000000000001</v>
      </c>
      <c r="EZ15" s="124">
        <v>0.20799999999999999</v>
      </c>
      <c r="FA15" s="124">
        <v>0.20599999999999999</v>
      </c>
      <c r="FB15" s="124">
        <v>0.26500000000000001</v>
      </c>
      <c r="FC15" s="124">
        <v>0.21</v>
      </c>
      <c r="FD15" s="124">
        <v>0.29699999999999999</v>
      </c>
      <c r="FE15" s="124">
        <v>0.19700000000000001</v>
      </c>
      <c r="FF15" s="124">
        <v>0.13800000000000001</v>
      </c>
      <c r="FG15" s="124">
        <v>0.20699999999999999</v>
      </c>
      <c r="FH15" s="124">
        <v>0.28799999999999998</v>
      </c>
      <c r="FI15" s="124">
        <v>0.19600000000000001</v>
      </c>
      <c r="FJ15" s="125">
        <v>0.129</v>
      </c>
      <c r="FK15" s="124">
        <v>0.153</v>
      </c>
      <c r="FL15" s="123">
        <v>11831</v>
      </c>
      <c r="FM15" s="123">
        <v>0</v>
      </c>
      <c r="FN15" s="124">
        <v>0.20100000000000001</v>
      </c>
      <c r="FO15" s="124">
        <v>0.218</v>
      </c>
      <c r="FP15" s="124">
        <v>0.20499999999999999</v>
      </c>
      <c r="FQ15" s="124">
        <v>0.26500000000000001</v>
      </c>
      <c r="FR15" s="124">
        <v>0.20799999999999999</v>
      </c>
      <c r="FS15" s="124">
        <v>0.29699999999999999</v>
      </c>
      <c r="FT15" s="124">
        <v>0.19700000000000001</v>
      </c>
      <c r="FU15" s="124">
        <v>0.14799999999999999</v>
      </c>
      <c r="FV15" s="124">
        <v>0.20599999999999999</v>
      </c>
      <c r="FW15" s="124">
        <v>0.28899999999999998</v>
      </c>
      <c r="FX15" s="124">
        <v>0</v>
      </c>
      <c r="FY15" s="124">
        <v>0</v>
      </c>
      <c r="FZ15" s="122">
        <v>0.153</v>
      </c>
      <c r="GA15" s="123">
        <v>6396</v>
      </c>
      <c r="GB15" s="123">
        <v>7230</v>
      </c>
      <c r="GC15" s="124">
        <v>0.2</v>
      </c>
      <c r="GD15" s="124">
        <v>0.19400000000000001</v>
      </c>
      <c r="GE15" s="124">
        <v>0.20599999999999999</v>
      </c>
      <c r="GF15" s="124">
        <v>0.26300000000000001</v>
      </c>
      <c r="GG15" s="124">
        <v>0.21</v>
      </c>
      <c r="GH15" s="124">
        <v>0.29499999999999998</v>
      </c>
      <c r="GI15" s="124">
        <v>0.19700000000000001</v>
      </c>
      <c r="GJ15" s="124">
        <v>0.125</v>
      </c>
      <c r="GK15" s="124">
        <v>0.20899999999999999</v>
      </c>
      <c r="GL15" s="124">
        <v>0.28599999999999998</v>
      </c>
      <c r="GM15" s="124">
        <v>0.19700000000000001</v>
      </c>
      <c r="GN15" s="125">
        <v>0.115</v>
      </c>
      <c r="GO15" s="124">
        <v>0.153</v>
      </c>
      <c r="GP15" s="123">
        <v>7102</v>
      </c>
      <c r="GQ15" s="123">
        <v>8029</v>
      </c>
      <c r="GR15" s="124">
        <v>0.2</v>
      </c>
      <c r="GS15" s="124">
        <v>0.19700000000000001</v>
      </c>
      <c r="GT15" s="124">
        <v>0.20599999999999999</v>
      </c>
      <c r="GU15" s="124">
        <v>0.26300000000000001</v>
      </c>
      <c r="GV15" s="124">
        <v>0.20899999999999999</v>
      </c>
      <c r="GW15" s="124">
        <v>0.29499999999999998</v>
      </c>
      <c r="GX15" s="124">
        <v>0.19700000000000001</v>
      </c>
      <c r="GY15" s="124">
        <v>0.128</v>
      </c>
      <c r="GZ15" s="124">
        <v>0.20799999999999999</v>
      </c>
      <c r="HA15" s="124">
        <v>0.28599999999999998</v>
      </c>
      <c r="HB15" s="124">
        <v>0.19700000000000001</v>
      </c>
      <c r="HC15" s="124">
        <v>0.11799999999999999</v>
      </c>
      <c r="HD15" s="122">
        <v>0.153</v>
      </c>
      <c r="HE15" s="123">
        <v>8915</v>
      </c>
      <c r="HF15" s="123">
        <v>10078</v>
      </c>
      <c r="HG15" s="124">
        <v>0.20200000000000001</v>
      </c>
      <c r="HH15" s="124">
        <v>0.20399999999999999</v>
      </c>
      <c r="HI15" s="124">
        <v>0.20799999999999999</v>
      </c>
      <c r="HJ15" s="124">
        <v>0.26300000000000001</v>
      </c>
      <c r="HK15" s="124">
        <v>0.21199999999999999</v>
      </c>
      <c r="HL15" s="124">
        <v>0.29499999999999998</v>
      </c>
      <c r="HM15" s="124">
        <v>0.19800000000000001</v>
      </c>
      <c r="HN15" s="124">
        <v>0.13400000000000001</v>
      </c>
      <c r="HO15" s="124">
        <v>0.21099999999999999</v>
      </c>
      <c r="HP15" s="124">
        <v>0.28599999999999998</v>
      </c>
      <c r="HQ15" s="124">
        <v>0.19700000000000001</v>
      </c>
      <c r="HR15" s="125">
        <v>0.125</v>
      </c>
      <c r="HS15" s="124">
        <v>0.153</v>
      </c>
      <c r="HT15" s="123">
        <v>10421</v>
      </c>
      <c r="HU15" s="123">
        <v>11781</v>
      </c>
      <c r="HV15" s="124">
        <v>0.20200000000000001</v>
      </c>
      <c r="HW15" s="124">
        <v>0.20799999999999999</v>
      </c>
      <c r="HX15" s="124">
        <v>0.20699999999999999</v>
      </c>
      <c r="HY15" s="124">
        <v>0.26300000000000001</v>
      </c>
      <c r="HZ15" s="124">
        <v>0.21199999999999999</v>
      </c>
      <c r="IA15" s="124">
        <v>0.29499999999999998</v>
      </c>
      <c r="IB15" s="124">
        <v>0.19700000000000001</v>
      </c>
      <c r="IC15" s="124">
        <v>0.13900000000000001</v>
      </c>
      <c r="ID15" s="124">
        <v>0.21</v>
      </c>
      <c r="IE15" s="124">
        <v>0.28599999999999998</v>
      </c>
      <c r="IF15" s="124">
        <v>0.19700000000000001</v>
      </c>
      <c r="IG15" s="124">
        <v>0.13</v>
      </c>
      <c r="IH15" s="122">
        <v>0.153</v>
      </c>
      <c r="II15" s="123">
        <v>12211</v>
      </c>
      <c r="IJ15" s="123">
        <v>12937</v>
      </c>
      <c r="IK15" s="124">
        <v>0.20200000000000001</v>
      </c>
      <c r="IL15" s="124">
        <v>0.215</v>
      </c>
      <c r="IM15" s="124">
        <v>0.20599999999999999</v>
      </c>
      <c r="IN15" s="124">
        <v>0.26300000000000001</v>
      </c>
      <c r="IO15" s="124">
        <v>0.21099999999999999</v>
      </c>
      <c r="IP15" s="124">
        <v>0.29499999999999998</v>
      </c>
      <c r="IQ15" s="124">
        <v>0.19700000000000001</v>
      </c>
      <c r="IR15" s="124">
        <v>0.14499999999999999</v>
      </c>
      <c r="IS15" s="124">
        <v>0.20899999999999999</v>
      </c>
      <c r="IT15" s="124">
        <v>0.28599999999999998</v>
      </c>
      <c r="IU15" s="124">
        <v>0.19700000000000001</v>
      </c>
      <c r="IV15" s="125">
        <v>0.13700000000000001</v>
      </c>
      <c r="IW15" s="124">
        <v>0.153</v>
      </c>
      <c r="IX15" s="123">
        <v>14663</v>
      </c>
      <c r="IY15" s="123">
        <v>15518</v>
      </c>
      <c r="IZ15" s="124">
        <v>0.20399999999999999</v>
      </c>
      <c r="JA15" s="124">
        <v>0.224</v>
      </c>
      <c r="JB15" s="124">
        <v>0.21</v>
      </c>
      <c r="JC15" s="124">
        <v>0.26200000000000001</v>
      </c>
      <c r="JD15" s="124">
        <v>0.216</v>
      </c>
      <c r="JE15" s="124">
        <v>0.29399999999999998</v>
      </c>
      <c r="JF15" s="124">
        <v>0.19800000000000001</v>
      </c>
      <c r="JG15" s="124">
        <v>0.155</v>
      </c>
      <c r="JH15" s="124">
        <v>0.214</v>
      </c>
      <c r="JI15" s="124">
        <v>0.28499999999999998</v>
      </c>
      <c r="JJ15" s="124">
        <v>0</v>
      </c>
      <c r="JK15" s="125">
        <v>0</v>
      </c>
    </row>
    <row r="16" spans="1:271" ht="15" customHeight="1">
      <c r="A16" s="121">
        <v>150</v>
      </c>
      <c r="B16" s="122">
        <v>0.124</v>
      </c>
      <c r="C16" s="123">
        <v>4579</v>
      </c>
      <c r="D16" s="123">
        <v>0</v>
      </c>
      <c r="E16" s="124">
        <v>0.17199999999999999</v>
      </c>
      <c r="F16" s="124">
        <v>0.186</v>
      </c>
      <c r="G16" s="124">
        <v>0.17799999999999999</v>
      </c>
      <c r="H16" s="124">
        <v>0.25700000000000001</v>
      </c>
      <c r="I16" s="124">
        <v>0.182</v>
      </c>
      <c r="J16" s="124">
        <v>0.28899999999999998</v>
      </c>
      <c r="K16" s="124">
        <v>0.16800000000000001</v>
      </c>
      <c r="L16" s="124">
        <v>0.11700000000000001</v>
      </c>
      <c r="M16" s="124">
        <v>0.17899999999999999</v>
      </c>
      <c r="N16" s="124">
        <v>0.28000000000000003</v>
      </c>
      <c r="O16" s="124">
        <v>0.16800000000000001</v>
      </c>
      <c r="P16" s="125">
        <v>0.107</v>
      </c>
      <c r="Q16" s="122">
        <v>0.124</v>
      </c>
      <c r="R16" s="123">
        <v>4579</v>
      </c>
      <c r="S16" s="123">
        <v>0</v>
      </c>
      <c r="T16" s="124">
        <v>0.17199999999999999</v>
      </c>
      <c r="U16" s="124">
        <v>0.186</v>
      </c>
      <c r="V16" s="124">
        <v>0.17799999999999999</v>
      </c>
      <c r="W16" s="124">
        <v>0.25700000000000001</v>
      </c>
      <c r="X16" s="124">
        <v>0.182</v>
      </c>
      <c r="Y16" s="124">
        <v>0.28899999999999998</v>
      </c>
      <c r="Z16" s="124">
        <v>0.16800000000000001</v>
      </c>
      <c r="AA16" s="124">
        <v>0.11700000000000001</v>
      </c>
      <c r="AB16" s="124">
        <v>0.17899999999999999</v>
      </c>
      <c r="AC16" s="124">
        <v>0.28000000000000003</v>
      </c>
      <c r="AD16" s="124">
        <v>0.16800000000000001</v>
      </c>
      <c r="AE16" s="125">
        <v>0.107</v>
      </c>
      <c r="AF16" s="122">
        <v>0.124</v>
      </c>
      <c r="AG16" s="123">
        <v>5355</v>
      </c>
      <c r="AH16" s="123">
        <v>0</v>
      </c>
      <c r="AI16" s="124">
        <v>0.17199999999999999</v>
      </c>
      <c r="AJ16" s="124">
        <v>0.189</v>
      </c>
      <c r="AK16" s="124">
        <v>0.17799999999999999</v>
      </c>
      <c r="AL16" s="124">
        <v>0.25700000000000001</v>
      </c>
      <c r="AM16" s="124">
        <v>0.182</v>
      </c>
      <c r="AN16" s="124">
        <v>0.28899999999999998</v>
      </c>
      <c r="AO16" s="124">
        <v>0.16800000000000001</v>
      </c>
      <c r="AP16" s="124">
        <v>0.12</v>
      </c>
      <c r="AQ16" s="124">
        <v>0.17899999999999999</v>
      </c>
      <c r="AR16" s="124">
        <v>0.28000000000000003</v>
      </c>
      <c r="AS16" s="124">
        <v>0.16800000000000001</v>
      </c>
      <c r="AT16" s="125">
        <v>0.11</v>
      </c>
      <c r="AU16" s="122">
        <v>0.124</v>
      </c>
      <c r="AV16" s="123">
        <v>6803</v>
      </c>
      <c r="AW16" s="123">
        <v>0</v>
      </c>
      <c r="AX16" s="124">
        <v>0.17199999999999999</v>
      </c>
      <c r="AY16" s="124">
        <v>0.19500000000000001</v>
      </c>
      <c r="AZ16" s="124">
        <v>0.17699999999999999</v>
      </c>
      <c r="BA16" s="124">
        <v>0.25700000000000001</v>
      </c>
      <c r="BB16" s="124">
        <v>0.18099999999999999</v>
      </c>
      <c r="BC16" s="124">
        <v>0.28899999999999998</v>
      </c>
      <c r="BD16" s="124">
        <v>0.16800000000000001</v>
      </c>
      <c r="BE16" s="124">
        <v>0.126</v>
      </c>
      <c r="BF16" s="124">
        <v>0.17799999999999999</v>
      </c>
      <c r="BG16" s="124">
        <v>0.28000000000000003</v>
      </c>
      <c r="BH16" s="124">
        <v>0.16700000000000001</v>
      </c>
      <c r="BI16" s="125">
        <v>0.11600000000000001</v>
      </c>
      <c r="BJ16" s="122">
        <v>0.124</v>
      </c>
      <c r="BK16" s="123">
        <v>8754</v>
      </c>
      <c r="BL16" s="123">
        <v>0</v>
      </c>
      <c r="BM16" s="124">
        <v>0.17100000000000001</v>
      </c>
      <c r="BN16" s="124">
        <v>0.20300000000000001</v>
      </c>
      <c r="BO16" s="124">
        <v>0.17599999999999999</v>
      </c>
      <c r="BP16" s="124">
        <v>0.25700000000000001</v>
      </c>
      <c r="BQ16" s="124">
        <v>0.18</v>
      </c>
      <c r="BR16" s="124">
        <v>0.28899999999999998</v>
      </c>
      <c r="BS16" s="124">
        <v>0.16800000000000001</v>
      </c>
      <c r="BT16" s="124">
        <v>0.13400000000000001</v>
      </c>
      <c r="BU16" s="124">
        <v>0.17699999999999999</v>
      </c>
      <c r="BV16" s="124">
        <v>0.28000000000000003</v>
      </c>
      <c r="BW16" s="124">
        <v>0</v>
      </c>
      <c r="BX16" s="125">
        <v>0</v>
      </c>
      <c r="BY16" s="124">
        <v>0.124</v>
      </c>
      <c r="BZ16" s="123">
        <v>11032</v>
      </c>
      <c r="CA16" s="123">
        <v>0</v>
      </c>
      <c r="CB16" s="124">
        <v>0.17100000000000001</v>
      </c>
      <c r="CC16" s="124">
        <v>0.21299999999999999</v>
      </c>
      <c r="CD16" s="124">
        <v>0.17499999999999999</v>
      </c>
      <c r="CE16" s="124">
        <v>0.25700000000000001</v>
      </c>
      <c r="CF16" s="124">
        <v>0.17799999999999999</v>
      </c>
      <c r="CG16" s="124">
        <v>0.28899999999999998</v>
      </c>
      <c r="CH16" s="124">
        <v>0.16800000000000001</v>
      </c>
      <c r="CI16" s="124">
        <v>0.14299999999999999</v>
      </c>
      <c r="CJ16" s="124">
        <v>0.17599999999999999</v>
      </c>
      <c r="CK16" s="124">
        <v>0.28100000000000003</v>
      </c>
      <c r="CL16" s="124">
        <v>0</v>
      </c>
      <c r="CM16" s="124">
        <v>0</v>
      </c>
      <c r="CN16" s="122">
        <v>0.124</v>
      </c>
      <c r="CO16" s="123">
        <v>4579</v>
      </c>
      <c r="CP16" s="123">
        <v>0</v>
      </c>
      <c r="CQ16" s="124">
        <v>0.16400000000000001</v>
      </c>
      <c r="CR16" s="124">
        <v>0.186</v>
      </c>
      <c r="CS16" s="124">
        <v>0.17100000000000001</v>
      </c>
      <c r="CT16" s="124">
        <v>0.25700000000000001</v>
      </c>
      <c r="CU16" s="124">
        <v>0.17499999999999999</v>
      </c>
      <c r="CV16" s="124">
        <v>0.28899999999999998</v>
      </c>
      <c r="CW16" s="124">
        <v>0.161</v>
      </c>
      <c r="CX16" s="124">
        <v>0.11700000000000001</v>
      </c>
      <c r="CY16" s="124">
        <v>0.17199999999999999</v>
      </c>
      <c r="CZ16" s="124">
        <v>0.28000000000000003</v>
      </c>
      <c r="DA16" s="124">
        <v>0.16</v>
      </c>
      <c r="DB16" s="125">
        <v>0.107</v>
      </c>
      <c r="DC16" s="124">
        <v>0.124</v>
      </c>
      <c r="DD16" s="123">
        <v>4579</v>
      </c>
      <c r="DE16" s="123">
        <v>0</v>
      </c>
      <c r="DF16" s="124">
        <v>0.16400000000000001</v>
      </c>
      <c r="DG16" s="124">
        <v>0.186</v>
      </c>
      <c r="DH16" s="124">
        <v>0.17100000000000001</v>
      </c>
      <c r="DI16" s="124">
        <v>0.25700000000000001</v>
      </c>
      <c r="DJ16" s="124">
        <v>0.17499999999999999</v>
      </c>
      <c r="DK16" s="124">
        <v>0.28899999999999998</v>
      </c>
      <c r="DL16" s="124">
        <v>0.161</v>
      </c>
      <c r="DM16" s="124">
        <v>0.11700000000000001</v>
      </c>
      <c r="DN16" s="124">
        <v>0.17199999999999999</v>
      </c>
      <c r="DO16" s="124">
        <v>0.28000000000000003</v>
      </c>
      <c r="DP16" s="124">
        <v>0.16</v>
      </c>
      <c r="DQ16" s="124">
        <v>0.107</v>
      </c>
      <c r="DR16" s="122">
        <v>0.124</v>
      </c>
      <c r="DS16" s="123">
        <v>5355</v>
      </c>
      <c r="DT16" s="123">
        <v>0</v>
      </c>
      <c r="DU16" s="124">
        <v>0.16400000000000001</v>
      </c>
      <c r="DV16" s="124">
        <v>0.189</v>
      </c>
      <c r="DW16" s="124">
        <v>0.17</v>
      </c>
      <c r="DX16" s="124">
        <v>0.25700000000000001</v>
      </c>
      <c r="DY16" s="124">
        <v>0.17399999999999999</v>
      </c>
      <c r="DZ16" s="124">
        <v>0.28899999999999998</v>
      </c>
      <c r="EA16" s="124">
        <v>0.161</v>
      </c>
      <c r="EB16" s="124">
        <v>0.12</v>
      </c>
      <c r="EC16" s="124">
        <v>0.17199999999999999</v>
      </c>
      <c r="ED16" s="124">
        <v>0.28000000000000003</v>
      </c>
      <c r="EE16" s="124">
        <v>0.16</v>
      </c>
      <c r="EF16" s="125">
        <v>0.11</v>
      </c>
      <c r="EG16" s="124">
        <v>0.124</v>
      </c>
      <c r="EH16" s="123">
        <v>6803</v>
      </c>
      <c r="EI16" s="123">
        <v>0</v>
      </c>
      <c r="EJ16" s="124">
        <v>0.16400000000000001</v>
      </c>
      <c r="EK16" s="124">
        <v>0.19500000000000001</v>
      </c>
      <c r="EL16" s="124">
        <v>0.17</v>
      </c>
      <c r="EM16" s="124">
        <v>0.25700000000000001</v>
      </c>
      <c r="EN16" s="124">
        <v>0.17299999999999999</v>
      </c>
      <c r="EO16" s="124">
        <v>0.28899999999999998</v>
      </c>
      <c r="EP16" s="124">
        <v>0.161</v>
      </c>
      <c r="EQ16" s="124">
        <v>0.126</v>
      </c>
      <c r="ER16" s="124">
        <v>0.17100000000000001</v>
      </c>
      <c r="ES16" s="124">
        <v>0.28000000000000003</v>
      </c>
      <c r="ET16" s="124">
        <v>0.16</v>
      </c>
      <c r="EU16" s="124">
        <v>0.11600000000000001</v>
      </c>
      <c r="EV16" s="122">
        <v>0.124</v>
      </c>
      <c r="EW16" s="123">
        <v>8754</v>
      </c>
      <c r="EX16" s="123">
        <v>0</v>
      </c>
      <c r="EY16" s="124">
        <v>0.16400000000000001</v>
      </c>
      <c r="EZ16" s="124">
        <v>0.20300000000000001</v>
      </c>
      <c r="FA16" s="124">
        <v>0.16900000000000001</v>
      </c>
      <c r="FB16" s="124">
        <v>0.25700000000000001</v>
      </c>
      <c r="FC16" s="124">
        <v>0.17199999999999999</v>
      </c>
      <c r="FD16" s="124">
        <v>0.28899999999999998</v>
      </c>
      <c r="FE16" s="124">
        <v>0.161</v>
      </c>
      <c r="FF16" s="124">
        <v>0.13400000000000001</v>
      </c>
      <c r="FG16" s="124">
        <v>0.17</v>
      </c>
      <c r="FH16" s="124">
        <v>0.28000000000000003</v>
      </c>
      <c r="FI16" s="124">
        <v>0</v>
      </c>
      <c r="FJ16" s="125">
        <v>0</v>
      </c>
      <c r="FK16" s="124">
        <v>0.124</v>
      </c>
      <c r="FL16" s="123">
        <v>11032</v>
      </c>
      <c r="FM16" s="123">
        <v>0</v>
      </c>
      <c r="FN16" s="124">
        <v>0.16400000000000001</v>
      </c>
      <c r="FO16" s="124">
        <v>0.21299999999999999</v>
      </c>
      <c r="FP16" s="124">
        <v>0.16800000000000001</v>
      </c>
      <c r="FQ16" s="124">
        <v>0.25700000000000001</v>
      </c>
      <c r="FR16" s="124">
        <v>0.17100000000000001</v>
      </c>
      <c r="FS16" s="124">
        <v>0.28899999999999998</v>
      </c>
      <c r="FT16" s="124">
        <v>0.16</v>
      </c>
      <c r="FU16" s="124">
        <v>0.14299999999999999</v>
      </c>
      <c r="FV16" s="124">
        <v>0.16900000000000001</v>
      </c>
      <c r="FW16" s="124">
        <v>0.28100000000000003</v>
      </c>
      <c r="FX16" s="124">
        <v>0</v>
      </c>
      <c r="FY16" s="124">
        <v>0</v>
      </c>
      <c r="FZ16" s="122">
        <v>0.124</v>
      </c>
      <c r="GA16" s="123">
        <v>5895</v>
      </c>
      <c r="GB16" s="123">
        <v>6664</v>
      </c>
      <c r="GC16" s="124">
        <v>0.16400000000000001</v>
      </c>
      <c r="GD16" s="124">
        <v>0.191</v>
      </c>
      <c r="GE16" s="124">
        <v>0.16900000000000001</v>
      </c>
      <c r="GF16" s="124">
        <v>0.255</v>
      </c>
      <c r="GG16" s="124">
        <v>0.17199999999999999</v>
      </c>
      <c r="GH16" s="124">
        <v>0.28699999999999998</v>
      </c>
      <c r="GI16" s="124">
        <v>0.161</v>
      </c>
      <c r="GJ16" s="124">
        <v>0.121</v>
      </c>
      <c r="GK16" s="124">
        <v>0.17100000000000001</v>
      </c>
      <c r="GL16" s="124">
        <v>0.27800000000000002</v>
      </c>
      <c r="GM16" s="124">
        <v>0.16200000000000001</v>
      </c>
      <c r="GN16" s="125">
        <v>0.112</v>
      </c>
      <c r="GO16" s="124">
        <v>0.124</v>
      </c>
      <c r="GP16" s="123">
        <v>6555</v>
      </c>
      <c r="GQ16" s="123">
        <v>7410</v>
      </c>
      <c r="GR16" s="124">
        <v>0.16400000000000001</v>
      </c>
      <c r="GS16" s="124">
        <v>0.193</v>
      </c>
      <c r="GT16" s="124">
        <v>0.16900000000000001</v>
      </c>
      <c r="GU16" s="124">
        <v>0.255</v>
      </c>
      <c r="GV16" s="124">
        <v>0.17199999999999999</v>
      </c>
      <c r="GW16" s="124">
        <v>0.28699999999999998</v>
      </c>
      <c r="GX16" s="124">
        <v>0.161</v>
      </c>
      <c r="GY16" s="124">
        <v>0.124</v>
      </c>
      <c r="GZ16" s="124">
        <v>0.17100000000000001</v>
      </c>
      <c r="HA16" s="124">
        <v>0.27800000000000002</v>
      </c>
      <c r="HB16" s="124">
        <v>0.16200000000000001</v>
      </c>
      <c r="HC16" s="124">
        <v>0.114</v>
      </c>
      <c r="HD16" s="122">
        <v>0.124</v>
      </c>
      <c r="HE16" s="123">
        <v>8258</v>
      </c>
      <c r="HF16" s="123">
        <v>9335</v>
      </c>
      <c r="HG16" s="124">
        <v>0.16500000000000001</v>
      </c>
      <c r="HH16" s="124">
        <v>0.19900000000000001</v>
      </c>
      <c r="HI16" s="124">
        <v>0.17100000000000001</v>
      </c>
      <c r="HJ16" s="124">
        <v>0.255</v>
      </c>
      <c r="HK16" s="124">
        <v>0.17499999999999999</v>
      </c>
      <c r="HL16" s="124">
        <v>0.28699999999999998</v>
      </c>
      <c r="HM16" s="124">
        <v>0.161</v>
      </c>
      <c r="HN16" s="124">
        <v>0.13</v>
      </c>
      <c r="HO16" s="124">
        <v>0.17399999999999999</v>
      </c>
      <c r="HP16" s="124">
        <v>0.27800000000000002</v>
      </c>
      <c r="HQ16" s="124">
        <v>0.161</v>
      </c>
      <c r="HR16" s="125">
        <v>0.121</v>
      </c>
      <c r="HS16" s="124">
        <v>0.124</v>
      </c>
      <c r="HT16" s="123">
        <v>9679</v>
      </c>
      <c r="HU16" s="123">
        <v>10942</v>
      </c>
      <c r="HV16" s="124">
        <v>0.16500000000000001</v>
      </c>
      <c r="HW16" s="124">
        <v>0.20399999999999999</v>
      </c>
      <c r="HX16" s="124">
        <v>0.17</v>
      </c>
      <c r="HY16" s="124">
        <v>0.255</v>
      </c>
      <c r="HZ16" s="124">
        <v>0.17399999999999999</v>
      </c>
      <c r="IA16" s="124">
        <v>0.28699999999999998</v>
      </c>
      <c r="IB16" s="124">
        <v>0.161</v>
      </c>
      <c r="IC16" s="124">
        <v>0.13500000000000001</v>
      </c>
      <c r="ID16" s="124">
        <v>0.17299999999999999</v>
      </c>
      <c r="IE16" s="124">
        <v>0.27800000000000002</v>
      </c>
      <c r="IF16" s="124">
        <v>0.161</v>
      </c>
      <c r="IG16" s="124">
        <v>0.126</v>
      </c>
      <c r="IH16" s="122">
        <v>0.124</v>
      </c>
      <c r="II16" s="123">
        <v>11376</v>
      </c>
      <c r="IJ16" s="123">
        <v>12082</v>
      </c>
      <c r="IK16" s="124">
        <v>0.16500000000000001</v>
      </c>
      <c r="IL16" s="124">
        <v>0.21</v>
      </c>
      <c r="IM16" s="124">
        <v>0.16900000000000001</v>
      </c>
      <c r="IN16" s="124">
        <v>0.255</v>
      </c>
      <c r="IO16" s="124">
        <v>0.17299999999999999</v>
      </c>
      <c r="IP16" s="124">
        <v>0.28699999999999998</v>
      </c>
      <c r="IQ16" s="124">
        <v>0.161</v>
      </c>
      <c r="IR16" s="124">
        <v>0.14099999999999999</v>
      </c>
      <c r="IS16" s="124">
        <v>0.17199999999999999</v>
      </c>
      <c r="IT16" s="124">
        <v>0.27800000000000002</v>
      </c>
      <c r="IU16" s="124">
        <v>0</v>
      </c>
      <c r="IV16" s="125">
        <v>0</v>
      </c>
      <c r="IW16" s="124">
        <v>0.124</v>
      </c>
      <c r="IX16" s="123">
        <v>13715</v>
      </c>
      <c r="IY16" s="123">
        <v>14549</v>
      </c>
      <c r="IZ16" s="124">
        <v>0.16700000000000001</v>
      </c>
      <c r="JA16" s="124">
        <v>0.219</v>
      </c>
      <c r="JB16" s="124">
        <v>0.17299999999999999</v>
      </c>
      <c r="JC16" s="124">
        <v>0.254</v>
      </c>
      <c r="JD16" s="124">
        <v>0.17899999999999999</v>
      </c>
      <c r="JE16" s="124">
        <v>0.28599999999999998</v>
      </c>
      <c r="JF16" s="124">
        <v>0.161</v>
      </c>
      <c r="JG16" s="124">
        <v>0.14899999999999999</v>
      </c>
      <c r="JH16" s="124">
        <v>0.17699999999999999</v>
      </c>
      <c r="JI16" s="124">
        <v>0.27700000000000002</v>
      </c>
      <c r="JJ16" s="124">
        <v>0</v>
      </c>
      <c r="JK16" s="125">
        <v>0</v>
      </c>
    </row>
    <row r="17" spans="1:271" ht="15" customHeight="1">
      <c r="A17" s="121">
        <v>185</v>
      </c>
      <c r="B17" s="122">
        <v>9.9000000000000005E-2</v>
      </c>
      <c r="C17" s="123">
        <v>4213</v>
      </c>
      <c r="D17" s="123">
        <v>0</v>
      </c>
      <c r="E17" s="124">
        <v>0.13900000000000001</v>
      </c>
      <c r="F17" s="124">
        <v>0.183</v>
      </c>
      <c r="G17" s="124">
        <v>0.14399999999999999</v>
      </c>
      <c r="H17" s="124">
        <v>0.249</v>
      </c>
      <c r="I17" s="124">
        <v>0.14799999999999999</v>
      </c>
      <c r="J17" s="124">
        <v>0.28100000000000003</v>
      </c>
      <c r="K17" s="124">
        <v>0.13500000000000001</v>
      </c>
      <c r="L17" s="124">
        <v>0.114</v>
      </c>
      <c r="M17" s="124">
        <v>0.14599999999999999</v>
      </c>
      <c r="N17" s="124">
        <v>0.27300000000000002</v>
      </c>
      <c r="O17" s="124">
        <v>0.13500000000000001</v>
      </c>
      <c r="P17" s="125">
        <v>0.104</v>
      </c>
      <c r="Q17" s="122">
        <v>9.9000000000000005E-2</v>
      </c>
      <c r="R17" s="123">
        <v>4213</v>
      </c>
      <c r="S17" s="123">
        <v>0</v>
      </c>
      <c r="T17" s="124">
        <v>0.13900000000000001</v>
      </c>
      <c r="U17" s="124">
        <v>0.183</v>
      </c>
      <c r="V17" s="124">
        <v>0.14399999999999999</v>
      </c>
      <c r="W17" s="124">
        <v>0.249</v>
      </c>
      <c r="X17" s="124">
        <v>0.14799999999999999</v>
      </c>
      <c r="Y17" s="124">
        <v>0.28100000000000003</v>
      </c>
      <c r="Z17" s="124">
        <v>0.13500000000000001</v>
      </c>
      <c r="AA17" s="124">
        <v>0.114</v>
      </c>
      <c r="AB17" s="124">
        <v>0.14599999999999999</v>
      </c>
      <c r="AC17" s="124">
        <v>0.27300000000000002</v>
      </c>
      <c r="AD17" s="124">
        <v>0.13500000000000001</v>
      </c>
      <c r="AE17" s="125">
        <v>0.104</v>
      </c>
      <c r="AF17" s="122">
        <v>9.9000000000000005E-2</v>
      </c>
      <c r="AG17" s="123">
        <v>4936</v>
      </c>
      <c r="AH17" s="123">
        <v>0</v>
      </c>
      <c r="AI17" s="124">
        <v>0.13900000000000001</v>
      </c>
      <c r="AJ17" s="124">
        <v>0.186</v>
      </c>
      <c r="AK17" s="124">
        <v>0.14399999999999999</v>
      </c>
      <c r="AL17" s="124">
        <v>0.249</v>
      </c>
      <c r="AM17" s="124">
        <v>0.14799999999999999</v>
      </c>
      <c r="AN17" s="124">
        <v>0.28100000000000003</v>
      </c>
      <c r="AO17" s="124">
        <v>0.13500000000000001</v>
      </c>
      <c r="AP17" s="124">
        <v>0.11700000000000001</v>
      </c>
      <c r="AQ17" s="124">
        <v>0.14499999999999999</v>
      </c>
      <c r="AR17" s="124">
        <v>0.27300000000000002</v>
      </c>
      <c r="AS17" s="124">
        <v>0.13500000000000001</v>
      </c>
      <c r="AT17" s="125">
        <v>0.107</v>
      </c>
      <c r="AU17" s="122">
        <v>9.9000000000000005E-2</v>
      </c>
      <c r="AV17" s="123">
        <v>6292</v>
      </c>
      <c r="AW17" s="123">
        <v>0</v>
      </c>
      <c r="AX17" s="124">
        <v>0.13900000000000001</v>
      </c>
      <c r="AY17" s="124">
        <v>0.191</v>
      </c>
      <c r="AZ17" s="124">
        <v>0.14399999999999999</v>
      </c>
      <c r="BA17" s="124">
        <v>0.249</v>
      </c>
      <c r="BB17" s="124">
        <v>0.14699999999999999</v>
      </c>
      <c r="BC17" s="124">
        <v>0.28100000000000003</v>
      </c>
      <c r="BD17" s="124">
        <v>0.13500000000000001</v>
      </c>
      <c r="BE17" s="124">
        <v>0.122</v>
      </c>
      <c r="BF17" s="124">
        <v>0.14499999999999999</v>
      </c>
      <c r="BG17" s="124">
        <v>0.27300000000000002</v>
      </c>
      <c r="BH17" s="124">
        <v>0.13500000000000001</v>
      </c>
      <c r="BI17" s="125">
        <v>0.113</v>
      </c>
      <c r="BJ17" s="122">
        <v>9.9000000000000005E-2</v>
      </c>
      <c r="BK17" s="123">
        <v>8130</v>
      </c>
      <c r="BL17" s="123">
        <v>0</v>
      </c>
      <c r="BM17" s="124">
        <v>0.13800000000000001</v>
      </c>
      <c r="BN17" s="124">
        <v>0.19900000000000001</v>
      </c>
      <c r="BO17" s="124">
        <v>0.14299999999999999</v>
      </c>
      <c r="BP17" s="124">
        <v>0.249</v>
      </c>
      <c r="BQ17" s="124">
        <v>0.14599999999999999</v>
      </c>
      <c r="BR17" s="124">
        <v>0.28100000000000003</v>
      </c>
      <c r="BS17" s="124">
        <v>0.13500000000000001</v>
      </c>
      <c r="BT17" s="124">
        <v>0.13</v>
      </c>
      <c r="BU17" s="124">
        <v>0.14399999999999999</v>
      </c>
      <c r="BV17" s="124">
        <v>0.27300000000000002</v>
      </c>
      <c r="BW17" s="124">
        <v>0</v>
      </c>
      <c r="BX17" s="125">
        <v>0</v>
      </c>
      <c r="BY17" s="124">
        <v>9.9000000000000005E-2</v>
      </c>
      <c r="BZ17" s="123">
        <v>9247</v>
      </c>
      <c r="CA17" s="123">
        <v>0</v>
      </c>
      <c r="CB17" s="124">
        <v>0.13800000000000001</v>
      </c>
      <c r="CC17" s="124">
        <v>0.20399999999999999</v>
      </c>
      <c r="CD17" s="124">
        <v>0.14199999999999999</v>
      </c>
      <c r="CE17" s="124">
        <v>0.249</v>
      </c>
      <c r="CF17" s="124">
        <v>0.14599999999999999</v>
      </c>
      <c r="CG17" s="124">
        <v>0.28100000000000003</v>
      </c>
      <c r="CH17" s="124">
        <v>0.13500000000000001</v>
      </c>
      <c r="CI17" s="124">
        <v>0.13400000000000001</v>
      </c>
      <c r="CJ17" s="124">
        <v>0.14299999999999999</v>
      </c>
      <c r="CK17" s="124">
        <v>0.27300000000000002</v>
      </c>
      <c r="CL17" s="124">
        <v>0</v>
      </c>
      <c r="CM17" s="124">
        <v>0</v>
      </c>
      <c r="CN17" s="122">
        <v>9.9000000000000005E-2</v>
      </c>
      <c r="CO17" s="123">
        <v>4213</v>
      </c>
      <c r="CP17" s="123">
        <v>0</v>
      </c>
      <c r="CQ17" s="124">
        <v>0.13300000000000001</v>
      </c>
      <c r="CR17" s="124">
        <v>0.183</v>
      </c>
      <c r="CS17" s="124">
        <v>0.13900000000000001</v>
      </c>
      <c r="CT17" s="124">
        <v>0.249</v>
      </c>
      <c r="CU17" s="124">
        <v>0.14299999999999999</v>
      </c>
      <c r="CV17" s="124">
        <v>0.28100000000000003</v>
      </c>
      <c r="CW17" s="124">
        <v>0.13</v>
      </c>
      <c r="CX17" s="124">
        <v>0.114</v>
      </c>
      <c r="CY17" s="124">
        <v>0.14000000000000001</v>
      </c>
      <c r="CZ17" s="124">
        <v>0.27300000000000002</v>
      </c>
      <c r="DA17" s="124">
        <v>0.129</v>
      </c>
      <c r="DB17" s="125">
        <v>0.104</v>
      </c>
      <c r="DC17" s="124">
        <v>9.9000000000000005E-2</v>
      </c>
      <c r="DD17" s="123">
        <v>4213</v>
      </c>
      <c r="DE17" s="123">
        <v>0</v>
      </c>
      <c r="DF17" s="124">
        <v>0.13300000000000001</v>
      </c>
      <c r="DG17" s="124">
        <v>0.183</v>
      </c>
      <c r="DH17" s="124">
        <v>0.13900000000000001</v>
      </c>
      <c r="DI17" s="124">
        <v>0.249</v>
      </c>
      <c r="DJ17" s="124">
        <v>0.14299999999999999</v>
      </c>
      <c r="DK17" s="124">
        <v>0.28100000000000003</v>
      </c>
      <c r="DL17" s="124">
        <v>0.13</v>
      </c>
      <c r="DM17" s="124">
        <v>0.114</v>
      </c>
      <c r="DN17" s="124">
        <v>0.14000000000000001</v>
      </c>
      <c r="DO17" s="124">
        <v>0.27300000000000002</v>
      </c>
      <c r="DP17" s="124">
        <v>0.129</v>
      </c>
      <c r="DQ17" s="124">
        <v>0.104</v>
      </c>
      <c r="DR17" s="122">
        <v>9.9000000000000005E-2</v>
      </c>
      <c r="DS17" s="123">
        <v>4936</v>
      </c>
      <c r="DT17" s="123">
        <v>0</v>
      </c>
      <c r="DU17" s="124">
        <v>0.13300000000000001</v>
      </c>
      <c r="DV17" s="124">
        <v>0.186</v>
      </c>
      <c r="DW17" s="124">
        <v>0.13800000000000001</v>
      </c>
      <c r="DX17" s="124">
        <v>0.249</v>
      </c>
      <c r="DY17" s="124">
        <v>0.14199999999999999</v>
      </c>
      <c r="DZ17" s="124">
        <v>0.28100000000000003</v>
      </c>
      <c r="EA17" s="124">
        <v>0.13</v>
      </c>
      <c r="EB17" s="124">
        <v>0.11700000000000001</v>
      </c>
      <c r="EC17" s="124">
        <v>0.14000000000000001</v>
      </c>
      <c r="ED17" s="124">
        <v>0.27300000000000002</v>
      </c>
      <c r="EE17" s="124">
        <v>0.129</v>
      </c>
      <c r="EF17" s="125">
        <v>0.107</v>
      </c>
      <c r="EG17" s="124">
        <v>9.9000000000000005E-2</v>
      </c>
      <c r="EH17" s="123">
        <v>6292</v>
      </c>
      <c r="EI17" s="123">
        <v>0</v>
      </c>
      <c r="EJ17" s="124">
        <v>0.13300000000000001</v>
      </c>
      <c r="EK17" s="124">
        <v>0.191</v>
      </c>
      <c r="EL17" s="124">
        <v>0.13800000000000001</v>
      </c>
      <c r="EM17" s="124">
        <v>0.249</v>
      </c>
      <c r="EN17" s="124">
        <v>0.14099999999999999</v>
      </c>
      <c r="EO17" s="124">
        <v>0.28100000000000003</v>
      </c>
      <c r="EP17" s="124">
        <v>0.129</v>
      </c>
      <c r="EQ17" s="124">
        <v>0.122</v>
      </c>
      <c r="ER17" s="124">
        <v>0.13900000000000001</v>
      </c>
      <c r="ES17" s="124">
        <v>0.27300000000000002</v>
      </c>
      <c r="ET17" s="124">
        <v>0.129</v>
      </c>
      <c r="EU17" s="124">
        <v>0.113</v>
      </c>
      <c r="EV17" s="122">
        <v>9.9000000000000005E-2</v>
      </c>
      <c r="EW17" s="123">
        <v>8130</v>
      </c>
      <c r="EX17" s="123">
        <v>0</v>
      </c>
      <c r="EY17" s="124">
        <v>0.13300000000000001</v>
      </c>
      <c r="EZ17" s="124">
        <v>0.19900000000000001</v>
      </c>
      <c r="FA17" s="124">
        <v>0.13700000000000001</v>
      </c>
      <c r="FB17" s="124">
        <v>0.249</v>
      </c>
      <c r="FC17" s="124">
        <v>0.14000000000000001</v>
      </c>
      <c r="FD17" s="124">
        <v>0.28100000000000003</v>
      </c>
      <c r="FE17" s="124">
        <v>0.129</v>
      </c>
      <c r="FF17" s="124">
        <v>0.13</v>
      </c>
      <c r="FG17" s="124">
        <v>0.13800000000000001</v>
      </c>
      <c r="FH17" s="124">
        <v>0.27300000000000002</v>
      </c>
      <c r="FI17" s="124">
        <v>0</v>
      </c>
      <c r="FJ17" s="125">
        <v>0</v>
      </c>
      <c r="FK17" s="124">
        <v>9.9000000000000005E-2</v>
      </c>
      <c r="FL17" s="123">
        <v>9247</v>
      </c>
      <c r="FM17" s="123">
        <v>0</v>
      </c>
      <c r="FN17" s="124">
        <v>0.13300000000000001</v>
      </c>
      <c r="FO17" s="124">
        <v>0.20399999999999999</v>
      </c>
      <c r="FP17" s="124">
        <v>0.13600000000000001</v>
      </c>
      <c r="FQ17" s="124">
        <v>0.249</v>
      </c>
      <c r="FR17" s="124">
        <v>0.14000000000000001</v>
      </c>
      <c r="FS17" s="124">
        <v>0.28100000000000003</v>
      </c>
      <c r="FT17" s="124">
        <v>0.129</v>
      </c>
      <c r="FU17" s="124">
        <v>0.13400000000000001</v>
      </c>
      <c r="FV17" s="124">
        <v>0.13800000000000001</v>
      </c>
      <c r="FW17" s="124">
        <v>0.27300000000000002</v>
      </c>
      <c r="FX17" s="124">
        <v>0</v>
      </c>
      <c r="FY17" s="124">
        <v>0</v>
      </c>
      <c r="FZ17" s="122">
        <v>9.9000000000000005E-2</v>
      </c>
      <c r="GA17" s="123">
        <v>5413</v>
      </c>
      <c r="GB17" s="123">
        <v>6119</v>
      </c>
      <c r="GC17" s="124">
        <v>0.13300000000000001</v>
      </c>
      <c r="GD17" s="124">
        <v>0.187</v>
      </c>
      <c r="GE17" s="124">
        <v>0.14000000000000001</v>
      </c>
      <c r="GF17" s="124">
        <v>0.246</v>
      </c>
      <c r="GG17" s="124">
        <v>0.14399999999999999</v>
      </c>
      <c r="GH17" s="124">
        <v>0.27800000000000002</v>
      </c>
      <c r="GI17" s="124">
        <v>0.13</v>
      </c>
      <c r="GJ17" s="124">
        <v>0.11799999999999999</v>
      </c>
      <c r="GK17" s="124">
        <v>0.14299999999999999</v>
      </c>
      <c r="GL17" s="124">
        <v>0.27</v>
      </c>
      <c r="GM17" s="124">
        <v>0.13</v>
      </c>
      <c r="GN17" s="125">
        <v>0.109</v>
      </c>
      <c r="GO17" s="124">
        <v>9.9000000000000005E-2</v>
      </c>
      <c r="GP17" s="123">
        <v>6028</v>
      </c>
      <c r="GQ17" s="123">
        <v>6814</v>
      </c>
      <c r="GR17" s="124">
        <v>0.13300000000000001</v>
      </c>
      <c r="GS17" s="124">
        <v>0.189</v>
      </c>
      <c r="GT17" s="124">
        <v>0.13900000000000001</v>
      </c>
      <c r="GU17" s="124">
        <v>0.246</v>
      </c>
      <c r="GV17" s="124">
        <v>0.14399999999999999</v>
      </c>
      <c r="GW17" s="124">
        <v>0.27800000000000002</v>
      </c>
      <c r="GX17" s="124">
        <v>0.13</v>
      </c>
      <c r="GY17" s="124">
        <v>0.12</v>
      </c>
      <c r="GZ17" s="124">
        <v>0.14199999999999999</v>
      </c>
      <c r="HA17" s="124">
        <v>0.27</v>
      </c>
      <c r="HB17" s="124">
        <v>0.13</v>
      </c>
      <c r="HC17" s="124">
        <v>0.111</v>
      </c>
      <c r="HD17" s="122">
        <v>9.9000000000000005E-2</v>
      </c>
      <c r="HE17" s="123">
        <v>7620</v>
      </c>
      <c r="HF17" s="123">
        <v>8613</v>
      </c>
      <c r="HG17" s="124">
        <v>0.13300000000000001</v>
      </c>
      <c r="HH17" s="124">
        <v>0.19500000000000001</v>
      </c>
      <c r="HI17" s="124">
        <v>0.13900000000000001</v>
      </c>
      <c r="HJ17" s="124">
        <v>0.246</v>
      </c>
      <c r="HK17" s="124">
        <v>0.14299999999999999</v>
      </c>
      <c r="HL17" s="124">
        <v>0.27800000000000002</v>
      </c>
      <c r="HM17" s="124">
        <v>0.13</v>
      </c>
      <c r="HN17" s="124">
        <v>0.126</v>
      </c>
      <c r="HO17" s="124">
        <v>0.14199999999999999</v>
      </c>
      <c r="HP17" s="124">
        <v>0.27</v>
      </c>
      <c r="HQ17" s="124">
        <v>0.129</v>
      </c>
      <c r="HR17" s="125">
        <v>0.11700000000000001</v>
      </c>
      <c r="HS17" s="124">
        <v>9.9000000000000005E-2</v>
      </c>
      <c r="HT17" s="123">
        <v>8956</v>
      </c>
      <c r="HU17" s="123">
        <v>10124</v>
      </c>
      <c r="HV17" s="124">
        <v>0.13300000000000001</v>
      </c>
      <c r="HW17" s="124">
        <v>0.2</v>
      </c>
      <c r="HX17" s="124">
        <v>0.13800000000000001</v>
      </c>
      <c r="HY17" s="124">
        <v>0.246</v>
      </c>
      <c r="HZ17" s="124">
        <v>0.14199999999999999</v>
      </c>
      <c r="IA17" s="124">
        <v>0.27900000000000003</v>
      </c>
      <c r="IB17" s="124">
        <v>0.129</v>
      </c>
      <c r="IC17" s="124">
        <v>0.13</v>
      </c>
      <c r="ID17" s="124">
        <v>0.14099999999999999</v>
      </c>
      <c r="IE17" s="124">
        <v>0.27</v>
      </c>
      <c r="IF17" s="124">
        <v>0.129</v>
      </c>
      <c r="IG17" s="124">
        <v>0.122</v>
      </c>
      <c r="IH17" s="122">
        <v>9.9000000000000005E-2</v>
      </c>
      <c r="II17" s="123">
        <v>10559</v>
      </c>
      <c r="IJ17" s="123">
        <v>11186</v>
      </c>
      <c r="IK17" s="124">
        <v>0.13300000000000001</v>
      </c>
      <c r="IL17" s="124">
        <v>0.20599999999999999</v>
      </c>
      <c r="IM17" s="124">
        <v>0.13700000000000001</v>
      </c>
      <c r="IN17" s="124">
        <v>0.247</v>
      </c>
      <c r="IO17" s="124">
        <v>0.14099999999999999</v>
      </c>
      <c r="IP17" s="124">
        <v>0.27900000000000003</v>
      </c>
      <c r="IQ17" s="124">
        <v>0.129</v>
      </c>
      <c r="IR17" s="124">
        <v>0.13600000000000001</v>
      </c>
      <c r="IS17" s="124">
        <v>0.14000000000000001</v>
      </c>
      <c r="IT17" s="124">
        <v>0.27</v>
      </c>
      <c r="IU17" s="124">
        <v>0</v>
      </c>
      <c r="IV17" s="125">
        <v>0</v>
      </c>
      <c r="IW17" s="124">
        <v>9.9000000000000005E-2</v>
      </c>
      <c r="IX17" s="123">
        <v>12781</v>
      </c>
      <c r="IY17" s="123">
        <v>13527</v>
      </c>
      <c r="IZ17" s="124">
        <v>0.13600000000000001</v>
      </c>
      <c r="JA17" s="124">
        <v>0.214</v>
      </c>
      <c r="JB17" s="124">
        <v>0.14099999999999999</v>
      </c>
      <c r="JC17" s="124">
        <v>0.246</v>
      </c>
      <c r="JD17" s="124">
        <v>0.14599999999999999</v>
      </c>
      <c r="JE17" s="124">
        <v>0.27800000000000002</v>
      </c>
      <c r="JF17" s="124">
        <v>0.13</v>
      </c>
      <c r="JG17" s="124">
        <v>0.14499999999999999</v>
      </c>
      <c r="JH17" s="124">
        <v>0.14499999999999999</v>
      </c>
      <c r="JI17" s="124">
        <v>0.26900000000000002</v>
      </c>
      <c r="JJ17" s="124">
        <v>0</v>
      </c>
      <c r="JK17" s="125">
        <v>0</v>
      </c>
    </row>
    <row r="18" spans="1:271">
      <c r="A18" s="126">
        <v>240</v>
      </c>
      <c r="B18" s="127">
        <v>7.4999999999999997E-2</v>
      </c>
      <c r="C18" s="128">
        <v>4169</v>
      </c>
      <c r="D18" s="128">
        <v>0</v>
      </c>
      <c r="E18" s="129">
        <v>0.107</v>
      </c>
      <c r="F18" s="129">
        <v>0.18099999999999999</v>
      </c>
      <c r="G18" s="129">
        <v>0.112</v>
      </c>
      <c r="H18" s="129">
        <v>0.23899999999999999</v>
      </c>
      <c r="I18" s="129">
        <v>0.11600000000000001</v>
      </c>
      <c r="J18" s="129">
        <v>0.27100000000000002</v>
      </c>
      <c r="K18" s="129">
        <v>0.105</v>
      </c>
      <c r="L18" s="129">
        <v>0.111</v>
      </c>
      <c r="M18" s="129">
        <v>0.114</v>
      </c>
      <c r="N18" s="129">
        <v>0.26300000000000001</v>
      </c>
      <c r="O18" s="129">
        <v>0.104</v>
      </c>
      <c r="P18" s="130">
        <v>0.10199999999999999</v>
      </c>
      <c r="Q18" s="122">
        <v>7.4999999999999997E-2</v>
      </c>
      <c r="R18" s="123">
        <v>4169</v>
      </c>
      <c r="S18" s="123">
        <v>0</v>
      </c>
      <c r="T18" s="124">
        <v>0.107</v>
      </c>
      <c r="U18" s="124">
        <v>0.18099999999999999</v>
      </c>
      <c r="V18" s="124">
        <v>0.112</v>
      </c>
      <c r="W18" s="124">
        <v>0.23899999999999999</v>
      </c>
      <c r="X18" s="124">
        <v>0.11600000000000001</v>
      </c>
      <c r="Y18" s="124">
        <v>0.27100000000000002</v>
      </c>
      <c r="Z18" s="124">
        <v>0.105</v>
      </c>
      <c r="AA18" s="124">
        <v>0.111</v>
      </c>
      <c r="AB18" s="124">
        <v>0.114</v>
      </c>
      <c r="AC18" s="124">
        <v>0.26300000000000001</v>
      </c>
      <c r="AD18" s="124">
        <v>0.104</v>
      </c>
      <c r="AE18" s="125">
        <v>0.10199999999999999</v>
      </c>
      <c r="AF18" s="122">
        <v>7.4999999999999997E-2</v>
      </c>
      <c r="AG18" s="123">
        <v>5061</v>
      </c>
      <c r="AH18" s="123">
        <v>0</v>
      </c>
      <c r="AI18" s="124">
        <v>0.107</v>
      </c>
      <c r="AJ18" s="124">
        <v>0.185</v>
      </c>
      <c r="AK18" s="124">
        <v>0.112</v>
      </c>
      <c r="AL18" s="124">
        <v>0.23899999999999999</v>
      </c>
      <c r="AM18" s="124">
        <v>0.115</v>
      </c>
      <c r="AN18" s="124">
        <v>0.27100000000000002</v>
      </c>
      <c r="AO18" s="124">
        <v>0.104</v>
      </c>
      <c r="AP18" s="124">
        <v>0.115</v>
      </c>
      <c r="AQ18" s="124">
        <v>0.113</v>
      </c>
      <c r="AR18" s="124">
        <v>0.26300000000000001</v>
      </c>
      <c r="AS18" s="124">
        <v>0.104</v>
      </c>
      <c r="AT18" s="125">
        <v>0.106</v>
      </c>
      <c r="AU18" s="122">
        <v>7.4999999999999997E-2</v>
      </c>
      <c r="AV18" s="123">
        <v>6253</v>
      </c>
      <c r="AW18" s="123">
        <v>0</v>
      </c>
      <c r="AX18" s="124">
        <v>0.107</v>
      </c>
      <c r="AY18" s="124">
        <v>0.19</v>
      </c>
      <c r="AZ18" s="124">
        <v>0.111</v>
      </c>
      <c r="BA18" s="124">
        <v>0.23899999999999999</v>
      </c>
      <c r="BB18" s="124">
        <v>0.115</v>
      </c>
      <c r="BC18" s="124">
        <v>0.27100000000000002</v>
      </c>
      <c r="BD18" s="124">
        <v>0.104</v>
      </c>
      <c r="BE18" s="124">
        <v>0.12</v>
      </c>
      <c r="BF18" s="124">
        <v>0.112</v>
      </c>
      <c r="BG18" s="124">
        <v>0.26300000000000001</v>
      </c>
      <c r="BH18" s="124">
        <v>0.104</v>
      </c>
      <c r="BI18" s="125">
        <v>0.111</v>
      </c>
      <c r="BJ18" s="122">
        <v>7.4999999999999997E-2</v>
      </c>
      <c r="BK18" s="123">
        <v>6818</v>
      </c>
      <c r="BL18" s="123">
        <v>0</v>
      </c>
      <c r="BM18" s="124">
        <v>0.107</v>
      </c>
      <c r="BN18" s="124">
        <v>0.192</v>
      </c>
      <c r="BO18" s="124">
        <v>0.111</v>
      </c>
      <c r="BP18" s="124">
        <v>0.23899999999999999</v>
      </c>
      <c r="BQ18" s="124">
        <v>0.115</v>
      </c>
      <c r="BR18" s="124">
        <v>0.27100000000000002</v>
      </c>
      <c r="BS18" s="124">
        <v>0.104</v>
      </c>
      <c r="BT18" s="124">
        <v>0.123</v>
      </c>
      <c r="BU18" s="124">
        <v>0.112</v>
      </c>
      <c r="BV18" s="124">
        <v>0.26300000000000001</v>
      </c>
      <c r="BW18" s="124">
        <v>0</v>
      </c>
      <c r="BX18" s="125">
        <v>0</v>
      </c>
      <c r="BY18" s="124">
        <v>7.4999999999999997E-2</v>
      </c>
      <c r="BZ18" s="123">
        <v>8400</v>
      </c>
      <c r="CA18" s="123">
        <v>0</v>
      </c>
      <c r="CB18" s="124">
        <v>0.107</v>
      </c>
      <c r="CC18" s="124">
        <v>0.19900000000000001</v>
      </c>
      <c r="CD18" s="124">
        <v>0.11</v>
      </c>
      <c r="CE18" s="124">
        <v>0.23899999999999999</v>
      </c>
      <c r="CF18" s="124">
        <v>0.114</v>
      </c>
      <c r="CG18" s="124">
        <v>0.27100000000000002</v>
      </c>
      <c r="CH18" s="124">
        <v>0.104</v>
      </c>
      <c r="CI18" s="124">
        <v>0.129</v>
      </c>
      <c r="CJ18" s="124">
        <v>0.111</v>
      </c>
      <c r="CK18" s="124">
        <v>0.26300000000000001</v>
      </c>
      <c r="CL18" s="124">
        <v>0</v>
      </c>
      <c r="CM18" s="124">
        <v>0</v>
      </c>
      <c r="CN18" s="122">
        <v>7.4999999999999997E-2</v>
      </c>
      <c r="CO18" s="123">
        <v>4169</v>
      </c>
      <c r="CP18" s="123">
        <v>0</v>
      </c>
      <c r="CQ18" s="124">
        <v>0.10299999999999999</v>
      </c>
      <c r="CR18" s="124">
        <v>0.18099999999999999</v>
      </c>
      <c r="CS18" s="124">
        <v>0.108</v>
      </c>
      <c r="CT18" s="124">
        <v>0.23899999999999999</v>
      </c>
      <c r="CU18" s="124">
        <v>0.112</v>
      </c>
      <c r="CV18" s="124">
        <v>0.27100000000000002</v>
      </c>
      <c r="CW18" s="124">
        <v>0.1</v>
      </c>
      <c r="CX18" s="124">
        <v>0.111</v>
      </c>
      <c r="CY18" s="124">
        <v>0.109</v>
      </c>
      <c r="CZ18" s="124">
        <v>0.26300000000000001</v>
      </c>
      <c r="DA18" s="124">
        <v>0.1</v>
      </c>
      <c r="DB18" s="125">
        <v>0.10199999999999999</v>
      </c>
      <c r="DC18" s="124">
        <v>7.4999999999999997E-2</v>
      </c>
      <c r="DD18" s="123">
        <v>4169</v>
      </c>
      <c r="DE18" s="123">
        <v>0</v>
      </c>
      <c r="DF18" s="124">
        <v>0.10299999999999999</v>
      </c>
      <c r="DG18" s="124">
        <v>0.18099999999999999</v>
      </c>
      <c r="DH18" s="124">
        <v>0.108</v>
      </c>
      <c r="DI18" s="124">
        <v>0.23899999999999999</v>
      </c>
      <c r="DJ18" s="124">
        <v>0.112</v>
      </c>
      <c r="DK18" s="124">
        <v>0.27100000000000002</v>
      </c>
      <c r="DL18" s="124">
        <v>0.1</v>
      </c>
      <c r="DM18" s="124">
        <v>0.111</v>
      </c>
      <c r="DN18" s="124">
        <v>0.109</v>
      </c>
      <c r="DO18" s="124">
        <v>0.26300000000000001</v>
      </c>
      <c r="DP18" s="124">
        <v>0.1</v>
      </c>
      <c r="DQ18" s="124">
        <v>0.10199999999999999</v>
      </c>
      <c r="DR18" s="122">
        <v>7.4999999999999997E-2</v>
      </c>
      <c r="DS18" s="123">
        <v>5061</v>
      </c>
      <c r="DT18" s="123">
        <v>0</v>
      </c>
      <c r="DU18" s="124">
        <v>0.10299999999999999</v>
      </c>
      <c r="DV18" s="124">
        <v>0.185</v>
      </c>
      <c r="DW18" s="124">
        <v>0.107</v>
      </c>
      <c r="DX18" s="124">
        <v>0.23899999999999999</v>
      </c>
      <c r="DY18" s="124">
        <v>0.111</v>
      </c>
      <c r="DZ18" s="124">
        <v>0.27100000000000002</v>
      </c>
      <c r="EA18" s="124">
        <v>0.1</v>
      </c>
      <c r="EB18" s="124">
        <v>0.115</v>
      </c>
      <c r="EC18" s="124">
        <v>0.109</v>
      </c>
      <c r="ED18" s="124">
        <v>0.26300000000000001</v>
      </c>
      <c r="EE18" s="124">
        <v>0.1</v>
      </c>
      <c r="EF18" s="125">
        <v>0.106</v>
      </c>
      <c r="EG18" s="124">
        <v>7.4999999999999997E-2</v>
      </c>
      <c r="EH18" s="123">
        <v>6253</v>
      </c>
      <c r="EI18" s="123">
        <v>0</v>
      </c>
      <c r="EJ18" s="124">
        <v>0.10299999999999999</v>
      </c>
      <c r="EK18" s="124">
        <v>0.19</v>
      </c>
      <c r="EL18" s="124">
        <v>0.107</v>
      </c>
      <c r="EM18" s="124">
        <v>0.23899999999999999</v>
      </c>
      <c r="EN18" s="124">
        <v>0.11</v>
      </c>
      <c r="EO18" s="124">
        <v>0.27100000000000002</v>
      </c>
      <c r="EP18" s="124">
        <v>0.1</v>
      </c>
      <c r="EQ18" s="124">
        <v>0.12</v>
      </c>
      <c r="ER18" s="124">
        <v>0.108</v>
      </c>
      <c r="ES18" s="124">
        <v>0.26300000000000001</v>
      </c>
      <c r="ET18" s="124">
        <v>9.9000000000000005E-2</v>
      </c>
      <c r="EU18" s="124">
        <v>0.111</v>
      </c>
      <c r="EV18" s="122">
        <v>7.4999999999999997E-2</v>
      </c>
      <c r="EW18" s="123">
        <v>6818</v>
      </c>
      <c r="EX18" s="123">
        <v>0</v>
      </c>
      <c r="EY18" s="124">
        <v>0.10299999999999999</v>
      </c>
      <c r="EZ18" s="124">
        <v>0.192</v>
      </c>
      <c r="FA18" s="124">
        <v>0.107</v>
      </c>
      <c r="FB18" s="124">
        <v>0.23899999999999999</v>
      </c>
      <c r="FC18" s="124">
        <v>0.11</v>
      </c>
      <c r="FD18" s="124">
        <v>0.27100000000000002</v>
      </c>
      <c r="FE18" s="124">
        <v>0.1</v>
      </c>
      <c r="FF18" s="124">
        <v>0.123</v>
      </c>
      <c r="FG18" s="124">
        <v>0.108</v>
      </c>
      <c r="FH18" s="124">
        <v>0.26300000000000001</v>
      </c>
      <c r="FI18" s="124">
        <v>0</v>
      </c>
      <c r="FJ18" s="125">
        <v>0</v>
      </c>
      <c r="FK18" s="124">
        <v>7.4999999999999997E-2</v>
      </c>
      <c r="FL18" s="123">
        <v>8400</v>
      </c>
      <c r="FM18" s="123">
        <v>0</v>
      </c>
      <c r="FN18" s="124">
        <v>0.10299999999999999</v>
      </c>
      <c r="FO18" s="124">
        <v>0.19900000000000001</v>
      </c>
      <c r="FP18" s="124">
        <v>0.106</v>
      </c>
      <c r="FQ18" s="124">
        <v>0.23899999999999999</v>
      </c>
      <c r="FR18" s="124">
        <v>0.109</v>
      </c>
      <c r="FS18" s="124">
        <v>0.27100000000000002</v>
      </c>
      <c r="FT18" s="124">
        <v>0.1</v>
      </c>
      <c r="FU18" s="124">
        <v>0.129</v>
      </c>
      <c r="FV18" s="124">
        <v>0.107</v>
      </c>
      <c r="FW18" s="124">
        <v>0.26300000000000001</v>
      </c>
      <c r="FX18" s="124">
        <v>0</v>
      </c>
      <c r="FY18" s="124">
        <v>0</v>
      </c>
      <c r="FZ18" s="122">
        <v>7.4999999999999997E-2</v>
      </c>
      <c r="GA18" s="123">
        <v>4786</v>
      </c>
      <c r="GB18" s="123">
        <v>5410</v>
      </c>
      <c r="GC18" s="124">
        <v>0.10299999999999999</v>
      </c>
      <c r="GD18" s="124">
        <v>0.182</v>
      </c>
      <c r="GE18" s="124">
        <v>0.109</v>
      </c>
      <c r="GF18" s="124">
        <v>0.23499999999999999</v>
      </c>
      <c r="GG18" s="124">
        <v>0.113</v>
      </c>
      <c r="GH18" s="124">
        <v>0.26700000000000002</v>
      </c>
      <c r="GI18" s="124">
        <v>0.1</v>
      </c>
      <c r="GJ18" s="124">
        <v>0.113</v>
      </c>
      <c r="GK18" s="124">
        <v>0.112</v>
      </c>
      <c r="GL18" s="124">
        <v>0.25800000000000001</v>
      </c>
      <c r="GM18" s="124">
        <v>0.10100000000000001</v>
      </c>
      <c r="GN18" s="125">
        <v>0.104</v>
      </c>
      <c r="GO18" s="124">
        <v>7.4999999999999997E-2</v>
      </c>
      <c r="GP18" s="123">
        <v>5339</v>
      </c>
      <c r="GQ18" s="123">
        <v>6036</v>
      </c>
      <c r="GR18" s="124">
        <v>0.10299999999999999</v>
      </c>
      <c r="GS18" s="124">
        <v>0.185</v>
      </c>
      <c r="GT18" s="124">
        <v>0.109</v>
      </c>
      <c r="GU18" s="124">
        <v>0.23499999999999999</v>
      </c>
      <c r="GV18" s="124">
        <v>0.113</v>
      </c>
      <c r="GW18" s="124">
        <v>0.26700000000000002</v>
      </c>
      <c r="GX18" s="124">
        <v>0.1</v>
      </c>
      <c r="GY18" s="124">
        <v>0.115</v>
      </c>
      <c r="GZ18" s="124">
        <v>0.112</v>
      </c>
      <c r="HA18" s="124">
        <v>0.25800000000000001</v>
      </c>
      <c r="HB18" s="124">
        <v>0.1</v>
      </c>
      <c r="HC18" s="124">
        <v>0.106</v>
      </c>
      <c r="HD18" s="122">
        <v>7.4999999999999997E-2</v>
      </c>
      <c r="HE18" s="123">
        <v>6780</v>
      </c>
      <c r="HF18" s="123">
        <v>7665</v>
      </c>
      <c r="HG18" s="124">
        <v>0.10299999999999999</v>
      </c>
      <c r="HH18" s="124">
        <v>0.189</v>
      </c>
      <c r="HI18" s="124">
        <v>0.108</v>
      </c>
      <c r="HJ18" s="124">
        <v>0.23499999999999999</v>
      </c>
      <c r="HK18" s="124">
        <v>0.112</v>
      </c>
      <c r="HL18" s="124">
        <v>0.26700000000000002</v>
      </c>
      <c r="HM18" s="124">
        <v>0.1</v>
      </c>
      <c r="HN18" s="124">
        <v>0.12</v>
      </c>
      <c r="HO18" s="124">
        <v>0.111</v>
      </c>
      <c r="HP18" s="124">
        <v>0.25800000000000001</v>
      </c>
      <c r="HQ18" s="124">
        <v>0.1</v>
      </c>
      <c r="HR18" s="125">
        <v>0.112</v>
      </c>
      <c r="HS18" s="124">
        <v>7.4999999999999997E-2</v>
      </c>
      <c r="HT18" s="123">
        <v>7999</v>
      </c>
      <c r="HU18" s="123">
        <v>9042</v>
      </c>
      <c r="HV18" s="124">
        <v>0.10299999999999999</v>
      </c>
      <c r="HW18" s="124">
        <v>0.19400000000000001</v>
      </c>
      <c r="HX18" s="124">
        <v>0.107</v>
      </c>
      <c r="HY18" s="124">
        <v>0.23499999999999999</v>
      </c>
      <c r="HZ18" s="124">
        <v>0.111</v>
      </c>
      <c r="IA18" s="124">
        <v>0.26700000000000002</v>
      </c>
      <c r="IB18" s="124">
        <v>0.1</v>
      </c>
      <c r="IC18" s="124">
        <v>0.125</v>
      </c>
      <c r="ID18" s="124">
        <v>0.11</v>
      </c>
      <c r="IE18" s="124">
        <v>0.25800000000000001</v>
      </c>
      <c r="IF18" s="124">
        <v>0.1</v>
      </c>
      <c r="IG18" s="124">
        <v>0.11600000000000001</v>
      </c>
      <c r="IH18" s="122">
        <v>7.4999999999999997E-2</v>
      </c>
      <c r="II18" s="123">
        <v>9471</v>
      </c>
      <c r="IJ18" s="123">
        <v>10126</v>
      </c>
      <c r="IK18" s="124">
        <v>0.106</v>
      </c>
      <c r="IL18" s="124">
        <v>0.19900000000000001</v>
      </c>
      <c r="IM18" s="124">
        <v>0.111</v>
      </c>
      <c r="IN18" s="124">
        <v>0.23400000000000001</v>
      </c>
      <c r="IO18" s="124">
        <v>0.11700000000000001</v>
      </c>
      <c r="IP18" s="124">
        <v>0.26600000000000001</v>
      </c>
      <c r="IQ18" s="124">
        <v>0.1</v>
      </c>
      <c r="IR18" s="124">
        <v>0.13</v>
      </c>
      <c r="IS18" s="124">
        <v>0.115</v>
      </c>
      <c r="IT18" s="124">
        <v>0.25800000000000001</v>
      </c>
      <c r="IU18" s="124">
        <v>0</v>
      </c>
      <c r="IV18" s="125">
        <v>0</v>
      </c>
      <c r="IW18" s="124">
        <v>7.4999999999999997E-2</v>
      </c>
      <c r="IX18" s="123">
        <v>11528</v>
      </c>
      <c r="IY18" s="123">
        <v>12308</v>
      </c>
      <c r="IZ18" s="124">
        <v>0.106</v>
      </c>
      <c r="JA18" s="124">
        <v>0.20699999999999999</v>
      </c>
      <c r="JB18" s="124">
        <v>0.11</v>
      </c>
      <c r="JC18" s="124">
        <v>0.23400000000000001</v>
      </c>
      <c r="JD18" s="124">
        <v>0.115</v>
      </c>
      <c r="JE18" s="124">
        <v>0.26600000000000001</v>
      </c>
      <c r="JF18" s="124">
        <v>0.1</v>
      </c>
      <c r="JG18" s="124">
        <v>0.13800000000000001</v>
      </c>
      <c r="JH18" s="124">
        <v>0.114</v>
      </c>
      <c r="JI18" s="124">
        <v>0.25800000000000001</v>
      </c>
      <c r="JJ18" s="124">
        <v>0</v>
      </c>
      <c r="JK18" s="125">
        <v>0</v>
      </c>
    </row>
    <row r="19" spans="1:271">
      <c r="A19" s="121">
        <v>300</v>
      </c>
      <c r="B19" s="122">
        <v>0.06</v>
      </c>
      <c r="C19" s="123">
        <v>3811</v>
      </c>
      <c r="D19" s="123">
        <v>0</v>
      </c>
      <c r="E19" s="124">
        <v>8.6999999999999994E-2</v>
      </c>
      <c r="F19" s="124">
        <v>0.17799999999999999</v>
      </c>
      <c r="G19" s="124">
        <v>9.1999999999999998E-2</v>
      </c>
      <c r="H19" s="124">
        <v>0.23100000000000001</v>
      </c>
      <c r="I19" s="124">
        <v>9.5000000000000001E-2</v>
      </c>
      <c r="J19" s="124">
        <v>0.26300000000000001</v>
      </c>
      <c r="K19" s="124">
        <v>8.5000000000000006E-2</v>
      </c>
      <c r="L19" s="124">
        <v>0.109</v>
      </c>
      <c r="M19" s="124">
        <v>9.2999999999999999E-2</v>
      </c>
      <c r="N19" s="124">
        <v>0.254</v>
      </c>
      <c r="O19" s="124">
        <v>8.5000000000000006E-2</v>
      </c>
      <c r="P19" s="125">
        <v>0.1</v>
      </c>
      <c r="Q19" s="122">
        <v>0.06</v>
      </c>
      <c r="R19" s="123">
        <v>3811</v>
      </c>
      <c r="S19" s="123">
        <v>0</v>
      </c>
      <c r="T19" s="124">
        <v>8.6999999999999994E-2</v>
      </c>
      <c r="U19" s="124">
        <v>0.17799999999999999</v>
      </c>
      <c r="V19" s="124">
        <v>9.1999999999999998E-2</v>
      </c>
      <c r="W19" s="124">
        <v>0.23100000000000001</v>
      </c>
      <c r="X19" s="124">
        <v>9.5000000000000001E-2</v>
      </c>
      <c r="Y19" s="124">
        <v>0.26300000000000001</v>
      </c>
      <c r="Z19" s="124">
        <v>8.5000000000000006E-2</v>
      </c>
      <c r="AA19" s="124">
        <v>0.109</v>
      </c>
      <c r="AB19" s="124">
        <v>9.2999999999999999E-2</v>
      </c>
      <c r="AC19" s="124">
        <v>0.254</v>
      </c>
      <c r="AD19" s="124">
        <v>8.5000000000000006E-2</v>
      </c>
      <c r="AE19" s="125">
        <v>0.1</v>
      </c>
      <c r="AF19" s="122">
        <v>0.06</v>
      </c>
      <c r="AG19" s="123">
        <v>4636</v>
      </c>
      <c r="AH19" s="123">
        <v>0</v>
      </c>
      <c r="AI19" s="124">
        <v>8.6999999999999994E-2</v>
      </c>
      <c r="AJ19" s="124">
        <v>0.182</v>
      </c>
      <c r="AK19" s="124">
        <v>9.0999999999999998E-2</v>
      </c>
      <c r="AL19" s="124">
        <v>0.23100000000000001</v>
      </c>
      <c r="AM19" s="124">
        <v>9.5000000000000001E-2</v>
      </c>
      <c r="AN19" s="124">
        <v>0.26300000000000001</v>
      </c>
      <c r="AO19" s="124">
        <v>8.5000000000000006E-2</v>
      </c>
      <c r="AP19" s="124">
        <v>0.112</v>
      </c>
      <c r="AQ19" s="124">
        <v>9.1999999999999998E-2</v>
      </c>
      <c r="AR19" s="124">
        <v>0.254</v>
      </c>
      <c r="AS19" s="124">
        <v>8.5000000000000006E-2</v>
      </c>
      <c r="AT19" s="125">
        <v>0.10299999999999999</v>
      </c>
      <c r="AU19" s="122">
        <v>0.06</v>
      </c>
      <c r="AV19" s="123">
        <v>5746</v>
      </c>
      <c r="AW19" s="123">
        <v>0</v>
      </c>
      <c r="AX19" s="124">
        <v>8.6999999999999994E-2</v>
      </c>
      <c r="AY19" s="124">
        <v>0.186</v>
      </c>
      <c r="AZ19" s="124">
        <v>9.0999999999999998E-2</v>
      </c>
      <c r="BA19" s="124">
        <v>0.23100000000000001</v>
      </c>
      <c r="BB19" s="124">
        <v>9.4E-2</v>
      </c>
      <c r="BC19" s="124">
        <v>0.26300000000000001</v>
      </c>
      <c r="BD19" s="124">
        <v>8.5000000000000006E-2</v>
      </c>
      <c r="BE19" s="124">
        <v>0.11700000000000001</v>
      </c>
      <c r="BF19" s="124">
        <v>9.1999999999999998E-2</v>
      </c>
      <c r="BG19" s="124">
        <v>0.255</v>
      </c>
      <c r="BH19" s="124">
        <v>0</v>
      </c>
      <c r="BI19" s="125">
        <v>0</v>
      </c>
      <c r="BJ19" s="122">
        <v>0.06</v>
      </c>
      <c r="BK19" s="123">
        <v>6273</v>
      </c>
      <c r="BL19" s="123">
        <v>0</v>
      </c>
      <c r="BM19" s="124">
        <v>8.6999999999999994E-2</v>
      </c>
      <c r="BN19" s="124">
        <v>0.189</v>
      </c>
      <c r="BO19" s="124">
        <v>9.0999999999999998E-2</v>
      </c>
      <c r="BP19" s="124">
        <v>0.23100000000000001</v>
      </c>
      <c r="BQ19" s="124">
        <v>9.4E-2</v>
      </c>
      <c r="BR19" s="124">
        <v>0.26300000000000001</v>
      </c>
      <c r="BS19" s="124">
        <v>8.4000000000000005E-2</v>
      </c>
      <c r="BT19" s="124">
        <v>0.11899999999999999</v>
      </c>
      <c r="BU19" s="124">
        <v>9.1999999999999998E-2</v>
      </c>
      <c r="BV19" s="124">
        <v>0.255</v>
      </c>
      <c r="BW19" s="124">
        <v>0</v>
      </c>
      <c r="BX19" s="125">
        <v>0</v>
      </c>
      <c r="BY19" s="124">
        <v>0.06</v>
      </c>
      <c r="BZ19" s="123">
        <v>7757</v>
      </c>
      <c r="CA19" s="123">
        <v>0</v>
      </c>
      <c r="CB19" s="124">
        <v>8.6999999999999994E-2</v>
      </c>
      <c r="CC19" s="124">
        <v>0.19500000000000001</v>
      </c>
      <c r="CD19" s="124">
        <v>0.09</v>
      </c>
      <c r="CE19" s="124">
        <v>0.23100000000000001</v>
      </c>
      <c r="CF19" s="124">
        <v>9.2999999999999999E-2</v>
      </c>
      <c r="CG19" s="124">
        <v>0.26300000000000001</v>
      </c>
      <c r="CH19" s="124">
        <v>8.4000000000000005E-2</v>
      </c>
      <c r="CI19" s="124">
        <v>0.125</v>
      </c>
      <c r="CJ19" s="124">
        <v>9.0999999999999998E-2</v>
      </c>
      <c r="CK19" s="124">
        <v>0.255</v>
      </c>
      <c r="CL19" s="124">
        <v>0</v>
      </c>
      <c r="CM19" s="124">
        <v>0</v>
      </c>
      <c r="CN19" s="122">
        <v>0.06</v>
      </c>
      <c r="CO19" s="123">
        <v>3811</v>
      </c>
      <c r="CP19" s="123">
        <v>0</v>
      </c>
      <c r="CQ19" s="124">
        <v>8.4000000000000005E-2</v>
      </c>
      <c r="CR19" s="124">
        <v>0.17799999999999999</v>
      </c>
      <c r="CS19" s="124">
        <v>8.7999999999999995E-2</v>
      </c>
      <c r="CT19" s="124">
        <v>0.23100000000000001</v>
      </c>
      <c r="CU19" s="124">
        <v>9.1999999999999998E-2</v>
      </c>
      <c r="CV19" s="124">
        <v>0.26300000000000001</v>
      </c>
      <c r="CW19" s="124">
        <v>8.2000000000000003E-2</v>
      </c>
      <c r="CX19" s="124">
        <v>0.109</v>
      </c>
      <c r="CY19" s="124">
        <v>8.8999999999999996E-2</v>
      </c>
      <c r="CZ19" s="124">
        <v>0.254</v>
      </c>
      <c r="DA19" s="124">
        <v>8.2000000000000003E-2</v>
      </c>
      <c r="DB19" s="125">
        <v>0.1</v>
      </c>
      <c r="DC19" s="124">
        <v>0.06</v>
      </c>
      <c r="DD19" s="123">
        <v>3811</v>
      </c>
      <c r="DE19" s="123">
        <v>0</v>
      </c>
      <c r="DF19" s="124">
        <v>8.4000000000000005E-2</v>
      </c>
      <c r="DG19" s="124">
        <v>0.17799999999999999</v>
      </c>
      <c r="DH19" s="124">
        <v>8.7999999999999995E-2</v>
      </c>
      <c r="DI19" s="124">
        <v>0.23100000000000001</v>
      </c>
      <c r="DJ19" s="124">
        <v>9.1999999999999998E-2</v>
      </c>
      <c r="DK19" s="124">
        <v>0.26300000000000001</v>
      </c>
      <c r="DL19" s="124">
        <v>8.2000000000000003E-2</v>
      </c>
      <c r="DM19" s="124">
        <v>0.109</v>
      </c>
      <c r="DN19" s="124">
        <v>8.8999999999999996E-2</v>
      </c>
      <c r="DO19" s="124">
        <v>0.254</v>
      </c>
      <c r="DP19" s="124">
        <v>8.2000000000000003E-2</v>
      </c>
      <c r="DQ19" s="124">
        <v>0.1</v>
      </c>
      <c r="DR19" s="122">
        <v>0.06</v>
      </c>
      <c r="DS19" s="123">
        <v>4636</v>
      </c>
      <c r="DT19" s="123">
        <v>0</v>
      </c>
      <c r="DU19" s="124">
        <v>8.4000000000000005E-2</v>
      </c>
      <c r="DV19" s="124">
        <v>0.182</v>
      </c>
      <c r="DW19" s="124">
        <v>8.7999999999999995E-2</v>
      </c>
      <c r="DX19" s="124">
        <v>0.23100000000000001</v>
      </c>
      <c r="DY19" s="124">
        <v>9.0999999999999998E-2</v>
      </c>
      <c r="DZ19" s="124">
        <v>0.26300000000000001</v>
      </c>
      <c r="EA19" s="124">
        <v>8.1000000000000003E-2</v>
      </c>
      <c r="EB19" s="124">
        <v>0.112</v>
      </c>
      <c r="EC19" s="124">
        <v>8.8999999999999996E-2</v>
      </c>
      <c r="ED19" s="124">
        <v>0.254</v>
      </c>
      <c r="EE19" s="124">
        <v>8.1000000000000003E-2</v>
      </c>
      <c r="EF19" s="125">
        <v>0.10299999999999999</v>
      </c>
      <c r="EG19" s="124">
        <v>0.06</v>
      </c>
      <c r="EH19" s="123">
        <v>5746</v>
      </c>
      <c r="EI19" s="123">
        <v>0</v>
      </c>
      <c r="EJ19" s="124">
        <v>8.4000000000000005E-2</v>
      </c>
      <c r="EK19" s="124">
        <v>0.186</v>
      </c>
      <c r="EL19" s="124">
        <v>8.6999999999999994E-2</v>
      </c>
      <c r="EM19" s="124">
        <v>0.23100000000000001</v>
      </c>
      <c r="EN19" s="124">
        <v>9.0999999999999998E-2</v>
      </c>
      <c r="EO19" s="124">
        <v>0.26300000000000001</v>
      </c>
      <c r="EP19" s="124">
        <v>8.1000000000000003E-2</v>
      </c>
      <c r="EQ19" s="124">
        <v>0.11700000000000001</v>
      </c>
      <c r="ER19" s="124">
        <v>8.7999999999999995E-2</v>
      </c>
      <c r="ES19" s="124">
        <v>0.255</v>
      </c>
      <c r="ET19" s="124">
        <v>0</v>
      </c>
      <c r="EU19" s="124">
        <v>0</v>
      </c>
      <c r="EV19" s="122">
        <v>0.06</v>
      </c>
      <c r="EW19" s="123">
        <v>6273</v>
      </c>
      <c r="EX19" s="123">
        <v>0</v>
      </c>
      <c r="EY19" s="124">
        <v>8.4000000000000005E-2</v>
      </c>
      <c r="EZ19" s="124">
        <v>0.189</v>
      </c>
      <c r="FA19" s="124">
        <v>8.6999999999999994E-2</v>
      </c>
      <c r="FB19" s="124">
        <v>0.23100000000000001</v>
      </c>
      <c r="FC19" s="124">
        <v>0.09</v>
      </c>
      <c r="FD19" s="124">
        <v>0.26300000000000001</v>
      </c>
      <c r="FE19" s="124">
        <v>8.1000000000000003E-2</v>
      </c>
      <c r="FF19" s="124">
        <v>0.11899999999999999</v>
      </c>
      <c r="FG19" s="124">
        <v>8.7999999999999995E-2</v>
      </c>
      <c r="FH19" s="124">
        <v>0.255</v>
      </c>
      <c r="FI19" s="124">
        <v>0</v>
      </c>
      <c r="FJ19" s="125">
        <v>0</v>
      </c>
      <c r="FK19" s="124">
        <v>0.06</v>
      </c>
      <c r="FL19" s="123">
        <v>7757</v>
      </c>
      <c r="FM19" s="123">
        <v>0</v>
      </c>
      <c r="FN19" s="124">
        <v>8.4000000000000005E-2</v>
      </c>
      <c r="FO19" s="124">
        <v>0.19500000000000001</v>
      </c>
      <c r="FP19" s="124">
        <v>8.5999999999999993E-2</v>
      </c>
      <c r="FQ19" s="124">
        <v>0.23100000000000001</v>
      </c>
      <c r="FR19" s="124">
        <v>0.09</v>
      </c>
      <c r="FS19" s="124">
        <v>0.26300000000000001</v>
      </c>
      <c r="FT19" s="124">
        <v>8.1000000000000003E-2</v>
      </c>
      <c r="FU19" s="124">
        <v>0.125</v>
      </c>
      <c r="FV19" s="124">
        <v>8.7999999999999995E-2</v>
      </c>
      <c r="FW19" s="124">
        <v>0.255</v>
      </c>
      <c r="FX19" s="124">
        <v>0</v>
      </c>
      <c r="FY19" s="124">
        <v>0</v>
      </c>
      <c r="FZ19" s="122">
        <v>0.06</v>
      </c>
      <c r="GA19" s="123">
        <v>4366</v>
      </c>
      <c r="GB19" s="123">
        <v>4936</v>
      </c>
      <c r="GC19" s="124">
        <v>8.4000000000000005E-2</v>
      </c>
      <c r="GD19" s="124">
        <v>0.17899999999999999</v>
      </c>
      <c r="GE19" s="124">
        <v>8.8999999999999996E-2</v>
      </c>
      <c r="GF19" s="124">
        <v>0.22600000000000001</v>
      </c>
      <c r="GG19" s="124">
        <v>9.2999999999999999E-2</v>
      </c>
      <c r="GH19" s="124">
        <v>0.25800000000000001</v>
      </c>
      <c r="GI19" s="124">
        <v>8.2000000000000003E-2</v>
      </c>
      <c r="GJ19" s="124">
        <v>0.11</v>
      </c>
      <c r="GK19" s="124">
        <v>9.8000000000000004E-2</v>
      </c>
      <c r="GL19" s="124">
        <v>0.25</v>
      </c>
      <c r="GM19" s="124">
        <v>8.2000000000000003E-2</v>
      </c>
      <c r="GN19" s="125">
        <v>0.10100000000000001</v>
      </c>
      <c r="GO19" s="124">
        <v>0.06</v>
      </c>
      <c r="GP19" s="123">
        <v>4878</v>
      </c>
      <c r="GQ19" s="123">
        <v>5514</v>
      </c>
      <c r="GR19" s="124">
        <v>8.4000000000000005E-2</v>
      </c>
      <c r="GS19" s="124">
        <v>0.18099999999999999</v>
      </c>
      <c r="GT19" s="124">
        <v>8.8999999999999996E-2</v>
      </c>
      <c r="GU19" s="124">
        <v>0.22600000000000001</v>
      </c>
      <c r="GV19" s="124">
        <v>9.2999999999999999E-2</v>
      </c>
      <c r="GW19" s="124">
        <v>0.25800000000000001</v>
      </c>
      <c r="GX19" s="124">
        <v>8.2000000000000003E-2</v>
      </c>
      <c r="GY19" s="124">
        <v>0.112</v>
      </c>
      <c r="GZ19" s="124">
        <v>9.1999999999999998E-2</v>
      </c>
      <c r="HA19" s="124">
        <v>0.25</v>
      </c>
      <c r="HB19" s="124">
        <v>8.2000000000000003E-2</v>
      </c>
      <c r="HC19" s="124">
        <v>0.10299999999999999</v>
      </c>
      <c r="HD19" s="122">
        <v>0.06</v>
      </c>
      <c r="HE19" s="123">
        <v>6214</v>
      </c>
      <c r="HF19" s="123">
        <v>7024</v>
      </c>
      <c r="HG19" s="124">
        <v>8.6999999999999994E-2</v>
      </c>
      <c r="HH19" s="124">
        <v>0.186</v>
      </c>
      <c r="HI19" s="124">
        <v>9.2999999999999999E-2</v>
      </c>
      <c r="HJ19" s="124">
        <v>0.22600000000000001</v>
      </c>
      <c r="HK19" s="124">
        <v>9.8000000000000004E-2</v>
      </c>
      <c r="HL19" s="124">
        <v>0.25700000000000001</v>
      </c>
      <c r="HM19" s="124">
        <v>8.2000000000000003E-2</v>
      </c>
      <c r="HN19" s="124">
        <v>0.11700000000000001</v>
      </c>
      <c r="HO19" s="124">
        <v>9.7000000000000003E-2</v>
      </c>
      <c r="HP19" s="124">
        <v>0.249</v>
      </c>
      <c r="HQ19" s="124">
        <v>8.2000000000000003E-2</v>
      </c>
      <c r="HR19" s="125">
        <v>0.109</v>
      </c>
      <c r="HS19" s="124">
        <v>0.06</v>
      </c>
      <c r="HT19" s="123">
        <v>7349</v>
      </c>
      <c r="HU19" s="123">
        <v>8308</v>
      </c>
      <c r="HV19" s="124">
        <v>8.6999999999999994E-2</v>
      </c>
      <c r="HW19" s="124">
        <v>0.19</v>
      </c>
      <c r="HX19" s="124">
        <v>9.1999999999999998E-2</v>
      </c>
      <c r="HY19" s="124">
        <v>0.22600000000000001</v>
      </c>
      <c r="HZ19" s="124">
        <v>9.8000000000000004E-2</v>
      </c>
      <c r="IA19" s="124">
        <v>0.25800000000000001</v>
      </c>
      <c r="IB19" s="124">
        <v>8.2000000000000003E-2</v>
      </c>
      <c r="IC19" s="124">
        <v>0.121</v>
      </c>
      <c r="ID19" s="124">
        <v>9.6000000000000002E-2</v>
      </c>
      <c r="IE19" s="124">
        <v>0.249</v>
      </c>
      <c r="IF19" s="124">
        <v>0</v>
      </c>
      <c r="IG19" s="124">
        <v>0</v>
      </c>
      <c r="IH19" s="122">
        <v>0.06</v>
      </c>
      <c r="II19" s="123">
        <v>8728</v>
      </c>
      <c r="IJ19" s="123">
        <v>9327</v>
      </c>
      <c r="IK19" s="124">
        <v>8.6999999999999994E-2</v>
      </c>
      <c r="IL19" s="124">
        <v>0.19500000000000001</v>
      </c>
      <c r="IM19" s="124">
        <v>9.0999999999999998E-2</v>
      </c>
      <c r="IN19" s="124">
        <v>0.22600000000000001</v>
      </c>
      <c r="IO19" s="124">
        <v>9.7000000000000003E-2</v>
      </c>
      <c r="IP19" s="124">
        <v>0.25800000000000001</v>
      </c>
      <c r="IQ19" s="124">
        <v>8.2000000000000003E-2</v>
      </c>
      <c r="IR19" s="124">
        <v>0.126</v>
      </c>
      <c r="IS19" s="124">
        <v>9.5000000000000001E-2</v>
      </c>
      <c r="IT19" s="124">
        <v>0.249</v>
      </c>
      <c r="IU19" s="124">
        <v>0</v>
      </c>
      <c r="IV19" s="125">
        <v>0</v>
      </c>
      <c r="IW19" s="124">
        <v>0.06</v>
      </c>
      <c r="IX19" s="123">
        <v>10665</v>
      </c>
      <c r="IY19" s="123">
        <v>11382</v>
      </c>
      <c r="IZ19" s="124">
        <v>8.8999999999999996E-2</v>
      </c>
      <c r="JA19" s="124">
        <v>0.20200000000000001</v>
      </c>
      <c r="JB19" s="124">
        <v>9.2999999999999999E-2</v>
      </c>
      <c r="JC19" s="124">
        <v>0.22600000000000001</v>
      </c>
      <c r="JD19" s="124">
        <v>0.1</v>
      </c>
      <c r="JE19" s="124">
        <v>0.25700000000000001</v>
      </c>
      <c r="JF19" s="124">
        <v>8.2000000000000003E-2</v>
      </c>
      <c r="JG19" s="124">
        <v>0.13300000000000001</v>
      </c>
      <c r="JH19" s="124">
        <v>9.8000000000000004E-2</v>
      </c>
      <c r="JI19" s="124">
        <v>0.248</v>
      </c>
      <c r="JJ19" s="124">
        <v>0</v>
      </c>
      <c r="JK19" s="125">
        <v>0</v>
      </c>
    </row>
    <row r="20" spans="1:271">
      <c r="A20" s="121">
        <v>400</v>
      </c>
      <c r="B20" s="122">
        <v>4.7E-2</v>
      </c>
      <c r="C20" s="123">
        <v>3363</v>
      </c>
      <c r="D20" s="123">
        <v>0</v>
      </c>
      <c r="E20" s="124">
        <v>7.0000000000000007E-2</v>
      </c>
      <c r="F20" s="124">
        <v>0.17399999999999999</v>
      </c>
      <c r="G20" s="124">
        <v>7.3999999999999996E-2</v>
      </c>
      <c r="H20" s="124">
        <v>0.22</v>
      </c>
      <c r="I20" s="124">
        <v>7.6999999999999999E-2</v>
      </c>
      <c r="J20" s="124">
        <v>0.252</v>
      </c>
      <c r="K20" s="124">
        <v>6.9000000000000006E-2</v>
      </c>
      <c r="L20" s="124">
        <v>0.105</v>
      </c>
      <c r="M20" s="124">
        <v>7.4999999999999997E-2</v>
      </c>
      <c r="N20" s="124">
        <v>0.24299999999999999</v>
      </c>
      <c r="O20" s="124">
        <v>6.9000000000000006E-2</v>
      </c>
      <c r="P20" s="125">
        <v>9.6000000000000002E-2</v>
      </c>
      <c r="Q20" s="122">
        <v>4.7E-2</v>
      </c>
      <c r="R20" s="123">
        <v>3363</v>
      </c>
      <c r="S20" s="123">
        <v>0</v>
      </c>
      <c r="T20" s="124">
        <v>7.0000000000000007E-2</v>
      </c>
      <c r="U20" s="124">
        <v>0.17399999999999999</v>
      </c>
      <c r="V20" s="124">
        <v>7.3999999999999996E-2</v>
      </c>
      <c r="W20" s="124">
        <v>0.22</v>
      </c>
      <c r="X20" s="124">
        <v>7.6999999999999999E-2</v>
      </c>
      <c r="Y20" s="124">
        <v>0.252</v>
      </c>
      <c r="Z20" s="124">
        <v>6.9000000000000006E-2</v>
      </c>
      <c r="AA20" s="124">
        <v>0.105</v>
      </c>
      <c r="AB20" s="124">
        <v>7.4999999999999997E-2</v>
      </c>
      <c r="AC20" s="124">
        <v>0.24299999999999999</v>
      </c>
      <c r="AD20" s="124">
        <v>6.9000000000000006E-2</v>
      </c>
      <c r="AE20" s="125">
        <v>9.6000000000000002E-2</v>
      </c>
      <c r="AF20" s="122">
        <v>4.7E-2</v>
      </c>
      <c r="AG20" s="123">
        <v>4103</v>
      </c>
      <c r="AH20" s="123">
        <v>0</v>
      </c>
      <c r="AI20" s="124">
        <v>7.0000000000000007E-2</v>
      </c>
      <c r="AJ20" s="124">
        <v>0.17799999999999999</v>
      </c>
      <c r="AK20" s="124">
        <v>7.3999999999999996E-2</v>
      </c>
      <c r="AL20" s="124">
        <v>0.22</v>
      </c>
      <c r="AM20" s="124">
        <v>7.6999999999999999E-2</v>
      </c>
      <c r="AN20" s="124">
        <v>0.252</v>
      </c>
      <c r="AO20" s="124">
        <v>6.8000000000000005E-2</v>
      </c>
      <c r="AP20" s="124">
        <v>0.108</v>
      </c>
      <c r="AQ20" s="124">
        <v>7.4999999999999997E-2</v>
      </c>
      <c r="AR20" s="124">
        <v>0.24299999999999999</v>
      </c>
      <c r="AS20" s="124">
        <v>0</v>
      </c>
      <c r="AT20" s="125">
        <v>0</v>
      </c>
      <c r="AU20" s="122">
        <v>4.7E-2</v>
      </c>
      <c r="AV20" s="123">
        <v>5105</v>
      </c>
      <c r="AW20" s="123">
        <v>0</v>
      </c>
      <c r="AX20" s="124">
        <v>7.0000000000000007E-2</v>
      </c>
      <c r="AY20" s="124">
        <v>0.182</v>
      </c>
      <c r="AZ20" s="124">
        <v>7.2999999999999995E-2</v>
      </c>
      <c r="BA20" s="124">
        <v>0.22</v>
      </c>
      <c r="BB20" s="124">
        <v>7.5999999999999998E-2</v>
      </c>
      <c r="BC20" s="124">
        <v>0.252</v>
      </c>
      <c r="BD20" s="124">
        <v>6.8000000000000005E-2</v>
      </c>
      <c r="BE20" s="124">
        <v>0.112</v>
      </c>
      <c r="BF20" s="124">
        <v>7.3999999999999996E-2</v>
      </c>
      <c r="BG20" s="124">
        <v>0.24299999999999999</v>
      </c>
      <c r="BH20" s="124">
        <v>0</v>
      </c>
      <c r="BI20" s="125">
        <v>0</v>
      </c>
      <c r="BJ20" s="122">
        <v>4.7E-2</v>
      </c>
      <c r="BK20" s="123">
        <v>5583</v>
      </c>
      <c r="BL20" s="123">
        <v>0</v>
      </c>
      <c r="BM20" s="124">
        <v>7.0000000000000007E-2</v>
      </c>
      <c r="BN20" s="124">
        <v>0.184</v>
      </c>
      <c r="BO20" s="124">
        <v>7.2999999999999995E-2</v>
      </c>
      <c r="BP20" s="124">
        <v>0.22</v>
      </c>
      <c r="BQ20" s="124">
        <v>7.5999999999999998E-2</v>
      </c>
      <c r="BR20" s="124">
        <v>0.252</v>
      </c>
      <c r="BS20" s="124">
        <v>6.8000000000000005E-2</v>
      </c>
      <c r="BT20" s="124">
        <v>0.114</v>
      </c>
      <c r="BU20" s="124">
        <v>7.3999999999999996E-2</v>
      </c>
      <c r="BV20" s="124">
        <v>0.24299999999999999</v>
      </c>
      <c r="BW20" s="124">
        <v>0</v>
      </c>
      <c r="BX20" s="125">
        <v>0</v>
      </c>
      <c r="BY20" s="124">
        <v>4.7E-2</v>
      </c>
      <c r="BZ20" s="123">
        <v>6936</v>
      </c>
      <c r="CA20" s="123">
        <v>0</v>
      </c>
      <c r="CB20" s="124">
        <v>7.0000000000000007E-2</v>
      </c>
      <c r="CC20" s="124">
        <v>0.19</v>
      </c>
      <c r="CD20" s="124">
        <v>7.1999999999999995E-2</v>
      </c>
      <c r="CE20" s="124">
        <v>0.22</v>
      </c>
      <c r="CF20" s="124">
        <v>7.4999999999999997E-2</v>
      </c>
      <c r="CG20" s="124">
        <v>0.252</v>
      </c>
      <c r="CH20" s="124">
        <v>6.8000000000000005E-2</v>
      </c>
      <c r="CI20" s="124">
        <v>0.12</v>
      </c>
      <c r="CJ20" s="124">
        <v>7.2999999999999995E-2</v>
      </c>
      <c r="CK20" s="124">
        <v>0.24399999999999999</v>
      </c>
      <c r="CL20" s="124">
        <v>0</v>
      </c>
      <c r="CM20" s="124">
        <v>0</v>
      </c>
      <c r="CN20" s="122">
        <v>4.7E-2</v>
      </c>
      <c r="CO20" s="123">
        <v>3363</v>
      </c>
      <c r="CP20" s="123">
        <v>0</v>
      </c>
      <c r="CQ20" s="124">
        <v>6.8000000000000005E-2</v>
      </c>
      <c r="CR20" s="124">
        <v>0.17399999999999999</v>
      </c>
      <c r="CS20" s="124">
        <v>7.0999999999999994E-2</v>
      </c>
      <c r="CT20" s="124">
        <v>0.22</v>
      </c>
      <c r="CU20" s="124">
        <v>7.4999999999999997E-2</v>
      </c>
      <c r="CV20" s="124">
        <v>0.252</v>
      </c>
      <c r="CW20" s="124">
        <v>6.6000000000000003E-2</v>
      </c>
      <c r="CX20" s="124">
        <v>0.105</v>
      </c>
      <c r="CY20" s="124">
        <v>7.1999999999999995E-2</v>
      </c>
      <c r="CZ20" s="124">
        <v>0.24299999999999999</v>
      </c>
      <c r="DA20" s="124">
        <v>6.6000000000000003E-2</v>
      </c>
      <c r="DB20" s="125">
        <v>9.6000000000000002E-2</v>
      </c>
      <c r="DC20" s="124">
        <v>4.7E-2</v>
      </c>
      <c r="DD20" s="123">
        <v>3363</v>
      </c>
      <c r="DE20" s="123">
        <v>0</v>
      </c>
      <c r="DF20" s="124">
        <v>6.8000000000000005E-2</v>
      </c>
      <c r="DG20" s="124">
        <v>0.17399999999999999</v>
      </c>
      <c r="DH20" s="124">
        <v>7.0999999999999994E-2</v>
      </c>
      <c r="DI20" s="124">
        <v>0.22</v>
      </c>
      <c r="DJ20" s="124">
        <v>7.4999999999999997E-2</v>
      </c>
      <c r="DK20" s="124">
        <v>0.252</v>
      </c>
      <c r="DL20" s="124">
        <v>6.6000000000000003E-2</v>
      </c>
      <c r="DM20" s="124">
        <v>0.105</v>
      </c>
      <c r="DN20" s="124">
        <v>7.1999999999999995E-2</v>
      </c>
      <c r="DO20" s="124">
        <v>0.24299999999999999</v>
      </c>
      <c r="DP20" s="124">
        <v>6.6000000000000003E-2</v>
      </c>
      <c r="DQ20" s="124">
        <v>9.6000000000000002E-2</v>
      </c>
      <c r="DR20" s="122">
        <v>4.7E-2</v>
      </c>
      <c r="DS20" s="123">
        <v>4103</v>
      </c>
      <c r="DT20" s="123">
        <v>0</v>
      </c>
      <c r="DU20" s="124">
        <v>6.8000000000000005E-2</v>
      </c>
      <c r="DV20" s="124">
        <v>0.17799999999999999</v>
      </c>
      <c r="DW20" s="124">
        <v>7.0999999999999994E-2</v>
      </c>
      <c r="DX20" s="124">
        <v>0.22</v>
      </c>
      <c r="DY20" s="124">
        <v>7.3999999999999996E-2</v>
      </c>
      <c r="DZ20" s="124">
        <v>0.252</v>
      </c>
      <c r="EA20" s="124">
        <v>6.6000000000000003E-2</v>
      </c>
      <c r="EB20" s="124">
        <v>0.108</v>
      </c>
      <c r="EC20" s="124">
        <v>7.1999999999999995E-2</v>
      </c>
      <c r="ED20" s="124">
        <v>0.24299999999999999</v>
      </c>
      <c r="EE20" s="124">
        <v>0</v>
      </c>
      <c r="EF20" s="125">
        <v>0</v>
      </c>
      <c r="EG20" s="124">
        <v>4.7E-2</v>
      </c>
      <c r="EH20" s="123">
        <v>5105</v>
      </c>
      <c r="EI20" s="123">
        <v>0</v>
      </c>
      <c r="EJ20" s="124">
        <v>6.8000000000000005E-2</v>
      </c>
      <c r="EK20" s="124">
        <v>0.182</v>
      </c>
      <c r="EL20" s="124">
        <v>7.0000000000000007E-2</v>
      </c>
      <c r="EM20" s="124">
        <v>0.22</v>
      </c>
      <c r="EN20" s="124">
        <v>7.3999999999999996E-2</v>
      </c>
      <c r="EO20" s="124">
        <v>0.252</v>
      </c>
      <c r="EP20" s="124">
        <v>6.6000000000000003E-2</v>
      </c>
      <c r="EQ20" s="124">
        <v>0.112</v>
      </c>
      <c r="ER20" s="124">
        <v>7.0999999999999994E-2</v>
      </c>
      <c r="ES20" s="124">
        <v>0.24299999999999999</v>
      </c>
      <c r="ET20" s="124">
        <v>0</v>
      </c>
      <c r="EU20" s="124">
        <v>0</v>
      </c>
      <c r="EV20" s="122">
        <v>4.7E-2</v>
      </c>
      <c r="EW20" s="123">
        <v>5583</v>
      </c>
      <c r="EX20" s="123">
        <v>0</v>
      </c>
      <c r="EY20" s="124">
        <v>6.8000000000000005E-2</v>
      </c>
      <c r="EZ20" s="124">
        <v>0.184</v>
      </c>
      <c r="FA20" s="124">
        <v>7.0000000000000007E-2</v>
      </c>
      <c r="FB20" s="124">
        <v>0.22</v>
      </c>
      <c r="FC20" s="124">
        <v>7.2999999999999995E-2</v>
      </c>
      <c r="FD20" s="124">
        <v>0.252</v>
      </c>
      <c r="FE20" s="124">
        <v>6.5000000000000002E-2</v>
      </c>
      <c r="FF20" s="124">
        <v>0.114</v>
      </c>
      <c r="FG20" s="124">
        <v>7.0999999999999994E-2</v>
      </c>
      <c r="FH20" s="124">
        <v>0.24299999999999999</v>
      </c>
      <c r="FI20" s="124">
        <v>0</v>
      </c>
      <c r="FJ20" s="125">
        <v>0</v>
      </c>
      <c r="FK20" s="124">
        <v>4.7E-2</v>
      </c>
      <c r="FL20" s="123">
        <v>6936</v>
      </c>
      <c r="FM20" s="123">
        <v>0</v>
      </c>
      <c r="FN20" s="124">
        <v>6.8000000000000005E-2</v>
      </c>
      <c r="FO20" s="124">
        <v>0.19</v>
      </c>
      <c r="FP20" s="124">
        <v>7.0000000000000007E-2</v>
      </c>
      <c r="FQ20" s="124">
        <v>0.22</v>
      </c>
      <c r="FR20" s="124">
        <v>7.2999999999999995E-2</v>
      </c>
      <c r="FS20" s="124">
        <v>0.252</v>
      </c>
      <c r="FT20" s="124">
        <v>6.5000000000000002E-2</v>
      </c>
      <c r="FU20" s="124">
        <v>0.12</v>
      </c>
      <c r="FV20" s="124">
        <v>7.0999999999999994E-2</v>
      </c>
      <c r="FW20" s="124">
        <v>0.24399999999999999</v>
      </c>
      <c r="FX20" s="124">
        <v>0</v>
      </c>
      <c r="FY20" s="124">
        <v>0</v>
      </c>
      <c r="FZ20" s="122">
        <v>4.7E-2</v>
      </c>
      <c r="GA20" s="123">
        <v>3993</v>
      </c>
      <c r="GB20" s="123">
        <v>4514</v>
      </c>
      <c r="GC20" s="124">
        <v>6.8000000000000005E-2</v>
      </c>
      <c r="GD20" s="124">
        <v>0.17699999999999999</v>
      </c>
      <c r="GE20" s="124">
        <v>7.1999999999999995E-2</v>
      </c>
      <c r="GF20" s="124">
        <v>0.218</v>
      </c>
      <c r="GG20" s="124">
        <v>7.5999999999999998E-2</v>
      </c>
      <c r="GH20" s="124">
        <v>0.25</v>
      </c>
      <c r="GI20" s="124">
        <v>6.6000000000000003E-2</v>
      </c>
      <c r="GJ20" s="124">
        <v>0.107</v>
      </c>
      <c r="GK20" s="124">
        <v>7.4999999999999997E-2</v>
      </c>
      <c r="GL20" s="124">
        <v>0.24199999999999999</v>
      </c>
      <c r="GM20" s="124">
        <v>6.7000000000000004E-2</v>
      </c>
      <c r="GN20" s="125">
        <v>9.9000000000000005E-2</v>
      </c>
      <c r="GO20" s="124">
        <v>4.7E-2</v>
      </c>
      <c r="GP20" s="123">
        <v>4465</v>
      </c>
      <c r="GQ20" s="123">
        <v>5048</v>
      </c>
      <c r="GR20" s="124">
        <v>7.0999999999999994E-2</v>
      </c>
      <c r="GS20" s="124">
        <v>0.17799999999999999</v>
      </c>
      <c r="GT20" s="124">
        <v>7.5999999999999998E-2</v>
      </c>
      <c r="GU20" s="124">
        <v>0.218</v>
      </c>
      <c r="GV20" s="124">
        <v>8.2000000000000003E-2</v>
      </c>
      <c r="GW20" s="124">
        <v>0.249</v>
      </c>
      <c r="GX20" s="124">
        <v>6.7000000000000004E-2</v>
      </c>
      <c r="GY20" s="124">
        <v>0.109</v>
      </c>
      <c r="GZ20" s="124">
        <v>0.08</v>
      </c>
      <c r="HA20" s="124">
        <v>0.24099999999999999</v>
      </c>
      <c r="HB20" s="124">
        <v>6.7000000000000004E-2</v>
      </c>
      <c r="HC20" s="124">
        <v>0.10100000000000001</v>
      </c>
      <c r="HD20" s="122">
        <v>4.7E-2</v>
      </c>
      <c r="HE20" s="123">
        <v>5705</v>
      </c>
      <c r="HF20" s="123">
        <v>6449</v>
      </c>
      <c r="HG20" s="124">
        <v>7.0999999999999994E-2</v>
      </c>
      <c r="HH20" s="124">
        <v>0.183</v>
      </c>
      <c r="HI20" s="124">
        <v>7.5999999999999998E-2</v>
      </c>
      <c r="HJ20" s="124">
        <v>0.218</v>
      </c>
      <c r="HK20" s="124">
        <v>8.1000000000000003E-2</v>
      </c>
      <c r="HL20" s="124">
        <v>0.25</v>
      </c>
      <c r="HM20" s="124">
        <v>6.6000000000000003E-2</v>
      </c>
      <c r="HN20" s="124">
        <v>0.113</v>
      </c>
      <c r="HO20" s="124">
        <v>0.08</v>
      </c>
      <c r="HP20" s="124">
        <v>0.24099999999999999</v>
      </c>
      <c r="HQ20" s="124">
        <v>0</v>
      </c>
      <c r="HR20" s="125">
        <v>0</v>
      </c>
      <c r="HS20" s="124">
        <v>4.7E-2</v>
      </c>
      <c r="HT20" s="123">
        <v>6764</v>
      </c>
      <c r="HU20" s="123">
        <v>7646</v>
      </c>
      <c r="HV20" s="124">
        <v>7.0999999999999994E-2</v>
      </c>
      <c r="HW20" s="124">
        <v>0.187</v>
      </c>
      <c r="HX20" s="124">
        <v>7.4999999999999997E-2</v>
      </c>
      <c r="HY20" s="124">
        <v>0.218</v>
      </c>
      <c r="HZ20" s="124">
        <v>0.08</v>
      </c>
      <c r="IA20" s="124">
        <v>0.25</v>
      </c>
      <c r="IB20" s="124">
        <v>6.6000000000000003E-2</v>
      </c>
      <c r="IC20" s="124">
        <v>0.11700000000000001</v>
      </c>
      <c r="ID20" s="124">
        <v>7.9000000000000001E-2</v>
      </c>
      <c r="IE20" s="124">
        <v>0.24099999999999999</v>
      </c>
      <c r="IF20" s="124">
        <v>0</v>
      </c>
      <c r="IG20" s="124">
        <v>0</v>
      </c>
      <c r="IH20" s="122">
        <v>4.7E-2</v>
      </c>
      <c r="II20" s="123">
        <v>8055</v>
      </c>
      <c r="IJ20" s="123">
        <v>8475</v>
      </c>
      <c r="IK20" s="124">
        <v>7.0999999999999994E-2</v>
      </c>
      <c r="IL20" s="124">
        <v>0.191</v>
      </c>
      <c r="IM20" s="124">
        <v>7.3999999999999996E-2</v>
      </c>
      <c r="IN20" s="124">
        <v>0.218</v>
      </c>
      <c r="IO20" s="124">
        <v>0.08</v>
      </c>
      <c r="IP20" s="124">
        <v>0.25</v>
      </c>
      <c r="IQ20" s="124">
        <v>6.6000000000000003E-2</v>
      </c>
      <c r="IR20" s="124">
        <v>0.122</v>
      </c>
      <c r="IS20" s="124">
        <v>7.8E-2</v>
      </c>
      <c r="IT20" s="124">
        <v>0.24099999999999999</v>
      </c>
      <c r="IU20" s="124">
        <v>0</v>
      </c>
      <c r="IV20" s="125">
        <v>0</v>
      </c>
      <c r="IW20" s="124">
        <v>4.7E-2</v>
      </c>
      <c r="IX20" s="123">
        <v>9879</v>
      </c>
      <c r="IY20" s="123">
        <v>10389</v>
      </c>
      <c r="IZ20" s="124">
        <v>7.2999999999999995E-2</v>
      </c>
      <c r="JA20" s="124">
        <v>0.19800000000000001</v>
      </c>
      <c r="JB20" s="124">
        <v>7.5999999999999998E-2</v>
      </c>
      <c r="JC20" s="124">
        <v>0.218</v>
      </c>
      <c r="JD20" s="124">
        <v>8.3000000000000004E-2</v>
      </c>
      <c r="JE20" s="124">
        <v>0.249</v>
      </c>
      <c r="JF20" s="124">
        <v>6.6000000000000003E-2</v>
      </c>
      <c r="JG20" s="124">
        <v>0.129</v>
      </c>
      <c r="JH20" s="124">
        <v>8.1000000000000003E-2</v>
      </c>
      <c r="JI20" s="124">
        <v>0.24099999999999999</v>
      </c>
      <c r="JJ20" s="124">
        <v>0</v>
      </c>
      <c r="JK20" s="125">
        <v>0</v>
      </c>
    </row>
    <row r="21" spans="1:271" ht="15.75" thickBot="1">
      <c r="A21" s="131">
        <v>500</v>
      </c>
      <c r="B21" s="132">
        <v>3.6999999999999998E-2</v>
      </c>
      <c r="C21" s="133">
        <v>3062</v>
      </c>
      <c r="D21" s="133">
        <v>0</v>
      </c>
      <c r="E21" s="134">
        <v>5.7000000000000002E-2</v>
      </c>
      <c r="F21" s="134">
        <v>0.17199999999999999</v>
      </c>
      <c r="G21" s="134">
        <v>0.06</v>
      </c>
      <c r="H21" s="134">
        <v>0.21199999999999999</v>
      </c>
      <c r="I21" s="134">
        <v>6.3E-2</v>
      </c>
      <c r="J21" s="134">
        <v>0.24399999999999999</v>
      </c>
      <c r="K21" s="134">
        <v>5.6000000000000001E-2</v>
      </c>
      <c r="L21" s="134">
        <v>0.10199999999999999</v>
      </c>
      <c r="M21" s="134">
        <v>6.0999999999999999E-2</v>
      </c>
      <c r="N21" s="134">
        <v>0.23499999999999999</v>
      </c>
      <c r="O21" s="134">
        <v>0</v>
      </c>
      <c r="P21" s="135">
        <v>0</v>
      </c>
      <c r="Q21" s="132">
        <v>3.6999999999999998E-2</v>
      </c>
      <c r="R21" s="133">
        <v>3062</v>
      </c>
      <c r="S21" s="133">
        <v>0</v>
      </c>
      <c r="T21" s="134">
        <v>5.7000000000000002E-2</v>
      </c>
      <c r="U21" s="134">
        <v>0.17199999999999999</v>
      </c>
      <c r="V21" s="134">
        <v>0.06</v>
      </c>
      <c r="W21" s="134">
        <v>0.21199999999999999</v>
      </c>
      <c r="X21" s="134">
        <v>6.3E-2</v>
      </c>
      <c r="Y21" s="134">
        <v>0.24399999999999999</v>
      </c>
      <c r="Z21" s="134">
        <v>5.6000000000000001E-2</v>
      </c>
      <c r="AA21" s="134">
        <v>0.10199999999999999</v>
      </c>
      <c r="AB21" s="134">
        <v>6.0999999999999999E-2</v>
      </c>
      <c r="AC21" s="134">
        <v>0.23499999999999999</v>
      </c>
      <c r="AD21" s="134">
        <v>0</v>
      </c>
      <c r="AE21" s="135">
        <v>0</v>
      </c>
      <c r="AF21" s="132">
        <v>3.6999999999999998E-2</v>
      </c>
      <c r="AG21" s="133">
        <v>3743</v>
      </c>
      <c r="AH21" s="133">
        <v>0</v>
      </c>
      <c r="AI21" s="134">
        <v>5.7000000000000002E-2</v>
      </c>
      <c r="AJ21" s="134">
        <v>0.17499999999999999</v>
      </c>
      <c r="AK21" s="134">
        <v>0.06</v>
      </c>
      <c r="AL21" s="134">
        <v>0.21199999999999999</v>
      </c>
      <c r="AM21" s="134">
        <v>6.2E-2</v>
      </c>
      <c r="AN21" s="134">
        <v>0.24399999999999999</v>
      </c>
      <c r="AO21" s="134">
        <v>5.6000000000000001E-2</v>
      </c>
      <c r="AP21" s="134">
        <v>0.105</v>
      </c>
      <c r="AQ21" s="134">
        <v>6.0999999999999999E-2</v>
      </c>
      <c r="AR21" s="134">
        <v>0.23499999999999999</v>
      </c>
      <c r="AS21" s="134">
        <v>0</v>
      </c>
      <c r="AT21" s="135">
        <v>0</v>
      </c>
      <c r="AU21" s="132">
        <v>3.6999999999999998E-2</v>
      </c>
      <c r="AV21" s="133">
        <v>4669</v>
      </c>
      <c r="AW21" s="133">
        <v>0</v>
      </c>
      <c r="AX21" s="134">
        <v>5.7000000000000002E-2</v>
      </c>
      <c r="AY21" s="134">
        <v>0.17899999999999999</v>
      </c>
      <c r="AZ21" s="134">
        <v>5.8999999999999997E-2</v>
      </c>
      <c r="BA21" s="134">
        <v>0.21199999999999999</v>
      </c>
      <c r="BB21" s="134">
        <v>6.2E-2</v>
      </c>
      <c r="BC21" s="134">
        <v>0.24399999999999999</v>
      </c>
      <c r="BD21" s="134">
        <v>5.5E-2</v>
      </c>
      <c r="BE21" s="134">
        <v>0.109</v>
      </c>
      <c r="BF21" s="134">
        <v>0.06</v>
      </c>
      <c r="BG21" s="134">
        <v>0.23499999999999999</v>
      </c>
      <c r="BH21" s="134">
        <v>0</v>
      </c>
      <c r="BI21" s="135">
        <v>0</v>
      </c>
      <c r="BJ21" s="132">
        <v>3.6999999999999998E-2</v>
      </c>
      <c r="BK21" s="133">
        <v>5112</v>
      </c>
      <c r="BL21" s="133">
        <v>0</v>
      </c>
      <c r="BM21" s="134">
        <v>5.7000000000000002E-2</v>
      </c>
      <c r="BN21" s="134">
        <v>0.18099999999999999</v>
      </c>
      <c r="BO21" s="134">
        <v>5.8999999999999997E-2</v>
      </c>
      <c r="BP21" s="134">
        <v>0.21199999999999999</v>
      </c>
      <c r="BQ21" s="134">
        <v>6.2E-2</v>
      </c>
      <c r="BR21" s="134">
        <v>0.24399999999999999</v>
      </c>
      <c r="BS21" s="134">
        <v>5.5E-2</v>
      </c>
      <c r="BT21" s="134">
        <v>0.111</v>
      </c>
      <c r="BU21" s="134">
        <v>0.06</v>
      </c>
      <c r="BV21" s="134">
        <v>0.23499999999999999</v>
      </c>
      <c r="BW21" s="134">
        <v>0</v>
      </c>
      <c r="BX21" s="135">
        <v>0</v>
      </c>
      <c r="BY21" s="134">
        <v>3.6999999999999998E-2</v>
      </c>
      <c r="BZ21" s="133">
        <v>6373</v>
      </c>
      <c r="CA21" s="133">
        <v>0</v>
      </c>
      <c r="CB21" s="134">
        <v>5.7000000000000002E-2</v>
      </c>
      <c r="CC21" s="134">
        <v>0.186</v>
      </c>
      <c r="CD21" s="134">
        <v>5.8999999999999997E-2</v>
      </c>
      <c r="CE21" s="134">
        <v>0.21199999999999999</v>
      </c>
      <c r="CF21" s="134">
        <v>6.2E-2</v>
      </c>
      <c r="CG21" s="134">
        <v>0.24399999999999999</v>
      </c>
      <c r="CH21" s="134">
        <v>5.5E-2</v>
      </c>
      <c r="CI21" s="134">
        <v>0.11700000000000001</v>
      </c>
      <c r="CJ21" s="134">
        <v>5.8999999999999997E-2</v>
      </c>
      <c r="CK21" s="134">
        <v>0.23499999999999999</v>
      </c>
      <c r="CL21" s="134">
        <v>0</v>
      </c>
      <c r="CM21" s="134">
        <v>0</v>
      </c>
      <c r="CN21" s="132">
        <v>3.6999999999999998E-2</v>
      </c>
      <c r="CO21" s="133">
        <v>3062</v>
      </c>
      <c r="CP21" s="133">
        <v>0</v>
      </c>
      <c r="CQ21" s="134">
        <v>5.5E-2</v>
      </c>
      <c r="CR21" s="134">
        <v>0.17199999999999999</v>
      </c>
      <c r="CS21" s="134">
        <v>5.8000000000000003E-2</v>
      </c>
      <c r="CT21" s="134">
        <v>0.21199999999999999</v>
      </c>
      <c r="CU21" s="134">
        <v>6.0999999999999999E-2</v>
      </c>
      <c r="CV21" s="134">
        <v>0.24399999999999999</v>
      </c>
      <c r="CW21" s="134">
        <v>5.3999999999999999E-2</v>
      </c>
      <c r="CX21" s="134">
        <v>0.10199999999999999</v>
      </c>
      <c r="CY21" s="134">
        <v>5.8999999999999997E-2</v>
      </c>
      <c r="CZ21" s="134">
        <v>0.23499999999999999</v>
      </c>
      <c r="DA21" s="134">
        <v>0</v>
      </c>
      <c r="DB21" s="135">
        <v>0</v>
      </c>
      <c r="DC21" s="134">
        <v>3.6999999999999998E-2</v>
      </c>
      <c r="DD21" s="133">
        <v>3062</v>
      </c>
      <c r="DE21" s="133">
        <v>0</v>
      </c>
      <c r="DF21" s="134">
        <v>5.5E-2</v>
      </c>
      <c r="DG21" s="134">
        <v>0.17199999999999999</v>
      </c>
      <c r="DH21" s="134">
        <v>5.8000000000000003E-2</v>
      </c>
      <c r="DI21" s="134">
        <v>0.21199999999999999</v>
      </c>
      <c r="DJ21" s="134">
        <v>6.0999999999999999E-2</v>
      </c>
      <c r="DK21" s="134">
        <v>0.24399999999999999</v>
      </c>
      <c r="DL21" s="134">
        <v>5.3999999999999999E-2</v>
      </c>
      <c r="DM21" s="134">
        <v>0.10199999999999999</v>
      </c>
      <c r="DN21" s="134">
        <v>5.8999999999999997E-2</v>
      </c>
      <c r="DO21" s="134">
        <v>0.23499999999999999</v>
      </c>
      <c r="DP21" s="134">
        <v>0</v>
      </c>
      <c r="DQ21" s="134">
        <v>0</v>
      </c>
      <c r="DR21" s="132">
        <v>3.6999999999999998E-2</v>
      </c>
      <c r="DS21" s="133">
        <v>3743</v>
      </c>
      <c r="DT21" s="133">
        <v>0</v>
      </c>
      <c r="DU21" s="134">
        <v>5.5E-2</v>
      </c>
      <c r="DV21" s="134">
        <v>0.17499999999999999</v>
      </c>
      <c r="DW21" s="134">
        <v>5.8000000000000003E-2</v>
      </c>
      <c r="DX21" s="134">
        <v>0.21199999999999999</v>
      </c>
      <c r="DY21" s="134">
        <v>6.0999999999999999E-2</v>
      </c>
      <c r="DZ21" s="134">
        <v>0.24399999999999999</v>
      </c>
      <c r="EA21" s="134">
        <v>5.3999999999999999E-2</v>
      </c>
      <c r="EB21" s="134">
        <v>0.105</v>
      </c>
      <c r="EC21" s="134">
        <v>5.8999999999999997E-2</v>
      </c>
      <c r="ED21" s="134">
        <v>0.23499999999999999</v>
      </c>
      <c r="EE21" s="134">
        <v>0</v>
      </c>
      <c r="EF21" s="135">
        <v>0</v>
      </c>
      <c r="EG21" s="134">
        <v>3.6999999999999998E-2</v>
      </c>
      <c r="EH21" s="133">
        <v>4669</v>
      </c>
      <c r="EI21" s="133">
        <v>0</v>
      </c>
      <c r="EJ21" s="134">
        <v>5.5E-2</v>
      </c>
      <c r="EK21" s="134">
        <v>0.17899999999999999</v>
      </c>
      <c r="EL21" s="134">
        <v>5.7000000000000002E-2</v>
      </c>
      <c r="EM21" s="134">
        <v>0.21199999999999999</v>
      </c>
      <c r="EN21" s="134">
        <v>0.06</v>
      </c>
      <c r="EO21" s="134">
        <v>0.24399999999999999</v>
      </c>
      <c r="EP21" s="134">
        <v>5.3999999999999999E-2</v>
      </c>
      <c r="EQ21" s="134">
        <v>0.109</v>
      </c>
      <c r="ER21" s="134">
        <v>5.8000000000000003E-2</v>
      </c>
      <c r="ES21" s="134">
        <v>0.23499999999999999</v>
      </c>
      <c r="ET21" s="134">
        <v>0</v>
      </c>
      <c r="EU21" s="134">
        <v>0</v>
      </c>
      <c r="EV21" s="132">
        <v>3.6999999999999998E-2</v>
      </c>
      <c r="EW21" s="133">
        <v>5112</v>
      </c>
      <c r="EX21" s="133">
        <v>0</v>
      </c>
      <c r="EY21" s="134">
        <v>5.5E-2</v>
      </c>
      <c r="EZ21" s="134">
        <v>0.18099999999999999</v>
      </c>
      <c r="FA21" s="134">
        <v>5.7000000000000002E-2</v>
      </c>
      <c r="FB21" s="134">
        <v>0.21199999999999999</v>
      </c>
      <c r="FC21" s="134">
        <v>0.06</v>
      </c>
      <c r="FD21" s="134">
        <v>0.24399999999999999</v>
      </c>
      <c r="FE21" s="134">
        <v>5.2999999999999999E-2</v>
      </c>
      <c r="FF21" s="134">
        <v>0.111</v>
      </c>
      <c r="FG21" s="134">
        <v>5.8000000000000003E-2</v>
      </c>
      <c r="FH21" s="134">
        <v>0.23499999999999999</v>
      </c>
      <c r="FI21" s="134">
        <v>0</v>
      </c>
      <c r="FJ21" s="135">
        <v>0</v>
      </c>
      <c r="FK21" s="134">
        <v>3.6999999999999998E-2</v>
      </c>
      <c r="FL21" s="133">
        <v>6373</v>
      </c>
      <c r="FM21" s="133">
        <v>0</v>
      </c>
      <c r="FN21" s="134">
        <v>5.5E-2</v>
      </c>
      <c r="FO21" s="134">
        <v>0.186</v>
      </c>
      <c r="FP21" s="134">
        <v>5.7000000000000002E-2</v>
      </c>
      <c r="FQ21" s="134">
        <v>0.21199999999999999</v>
      </c>
      <c r="FR21" s="134">
        <v>5.8999999999999997E-2</v>
      </c>
      <c r="FS21" s="134">
        <v>0.24399999999999999</v>
      </c>
      <c r="FT21" s="134">
        <v>5.2999999999999999E-2</v>
      </c>
      <c r="FU21" s="134">
        <v>0.11700000000000001</v>
      </c>
      <c r="FV21" s="134">
        <v>5.7000000000000002E-2</v>
      </c>
      <c r="FW21" s="134">
        <v>0.23499999999999999</v>
      </c>
      <c r="FX21" s="134">
        <v>0</v>
      </c>
      <c r="FY21" s="134">
        <v>0</v>
      </c>
      <c r="FZ21" s="132">
        <v>3.6999999999999998E-2</v>
      </c>
      <c r="GA21" s="133">
        <v>3804</v>
      </c>
      <c r="GB21" s="133">
        <v>4301</v>
      </c>
      <c r="GC21" s="134">
        <v>5.5E-2</v>
      </c>
      <c r="GD21" s="134">
        <v>0.17399999999999999</v>
      </c>
      <c r="GE21" s="134">
        <v>5.8000000000000003E-2</v>
      </c>
      <c r="GF21" s="134">
        <v>0.20899999999999999</v>
      </c>
      <c r="GG21" s="134">
        <v>6.2E-2</v>
      </c>
      <c r="GH21" s="134">
        <v>0.24099999999999999</v>
      </c>
      <c r="GI21" s="134">
        <v>5.3999999999999999E-2</v>
      </c>
      <c r="GJ21" s="134">
        <v>0.105</v>
      </c>
      <c r="GK21" s="134">
        <v>6.0999999999999999E-2</v>
      </c>
      <c r="GL21" s="134">
        <v>0.23200000000000001</v>
      </c>
      <c r="GM21" s="134">
        <v>0</v>
      </c>
      <c r="GN21" s="135">
        <v>0</v>
      </c>
      <c r="GO21" s="134">
        <v>3.6999999999999998E-2</v>
      </c>
      <c r="GP21" s="133">
        <v>4018</v>
      </c>
      <c r="GQ21" s="133">
        <v>4542</v>
      </c>
      <c r="GR21" s="134">
        <v>5.8000000000000003E-2</v>
      </c>
      <c r="GS21" s="134">
        <v>0.17499999999999999</v>
      </c>
      <c r="GT21" s="134">
        <v>6.3E-2</v>
      </c>
      <c r="GU21" s="134">
        <v>0.20799999999999999</v>
      </c>
      <c r="GV21" s="134">
        <v>6.8000000000000005E-2</v>
      </c>
      <c r="GW21" s="134">
        <v>0.24</v>
      </c>
      <c r="GX21" s="134">
        <v>5.5E-2</v>
      </c>
      <c r="GY21" s="134">
        <v>0.106</v>
      </c>
      <c r="GZ21" s="134">
        <v>6.7000000000000004E-2</v>
      </c>
      <c r="HA21" s="134">
        <v>0.23200000000000001</v>
      </c>
      <c r="HB21" s="134">
        <v>0</v>
      </c>
      <c r="HC21" s="134">
        <v>0</v>
      </c>
      <c r="HD21" s="132">
        <v>3.6999999999999998E-2</v>
      </c>
      <c r="HE21" s="133">
        <v>5150</v>
      </c>
      <c r="HF21" s="133">
        <v>5882</v>
      </c>
      <c r="HG21" s="134">
        <v>5.8000000000000003E-2</v>
      </c>
      <c r="HH21" s="134">
        <v>0.17899999999999999</v>
      </c>
      <c r="HI21" s="134">
        <v>6.2E-2</v>
      </c>
      <c r="HJ21" s="134">
        <v>0.20799999999999999</v>
      </c>
      <c r="HK21" s="134">
        <v>6.7000000000000004E-2</v>
      </c>
      <c r="HL21" s="134">
        <v>0.24</v>
      </c>
      <c r="HM21" s="134">
        <v>5.3999999999999999E-2</v>
      </c>
      <c r="HN21" s="134">
        <v>0.11</v>
      </c>
      <c r="HO21" s="134">
        <v>6.6000000000000003E-2</v>
      </c>
      <c r="HP21" s="134">
        <v>0.23200000000000001</v>
      </c>
      <c r="HQ21" s="134">
        <v>0</v>
      </c>
      <c r="HR21" s="135">
        <v>0</v>
      </c>
      <c r="HS21" s="134">
        <v>3.6999999999999998E-2</v>
      </c>
      <c r="HT21" s="133">
        <v>6122</v>
      </c>
      <c r="HU21" s="133">
        <v>6920</v>
      </c>
      <c r="HV21" s="134">
        <v>0.06</v>
      </c>
      <c r="HW21" s="134">
        <v>0.182</v>
      </c>
      <c r="HX21" s="134">
        <v>6.5000000000000002E-2</v>
      </c>
      <c r="HY21" s="134">
        <v>0.20799999999999999</v>
      </c>
      <c r="HZ21" s="134">
        <v>7.0999999999999994E-2</v>
      </c>
      <c r="IA21" s="134">
        <v>0.23899999999999999</v>
      </c>
      <c r="IB21" s="134">
        <v>5.3999999999999999E-2</v>
      </c>
      <c r="IC21" s="134">
        <v>0.114</v>
      </c>
      <c r="ID21" s="134">
        <v>7.0000000000000007E-2</v>
      </c>
      <c r="IE21" s="134">
        <v>0.23100000000000001</v>
      </c>
      <c r="IF21" s="134">
        <v>0</v>
      </c>
      <c r="IG21" s="134">
        <v>0</v>
      </c>
      <c r="IH21" s="132">
        <v>3.6999999999999998E-2</v>
      </c>
      <c r="II21" s="133">
        <v>7313</v>
      </c>
      <c r="IJ21" s="133">
        <v>7700</v>
      </c>
      <c r="IK21" s="134">
        <v>0.06</v>
      </c>
      <c r="IL21" s="134">
        <v>0.187</v>
      </c>
      <c r="IM21" s="134">
        <v>6.4000000000000001E-2</v>
      </c>
      <c r="IN21" s="134">
        <v>0.20799999999999999</v>
      </c>
      <c r="IO21" s="134">
        <v>7.0000000000000007E-2</v>
      </c>
      <c r="IP21" s="134">
        <v>0.23899999999999999</v>
      </c>
      <c r="IQ21" s="134">
        <v>5.3999999999999999E-2</v>
      </c>
      <c r="IR21" s="134">
        <v>0.11799999999999999</v>
      </c>
      <c r="IS21" s="134">
        <v>6.9000000000000006E-2</v>
      </c>
      <c r="IT21" s="134">
        <v>0.23100000000000001</v>
      </c>
      <c r="IU21" s="134">
        <v>0</v>
      </c>
      <c r="IV21" s="135">
        <v>0</v>
      </c>
      <c r="IW21" s="134">
        <v>3.6999999999999998E-2</v>
      </c>
      <c r="IX21" s="133">
        <v>9007</v>
      </c>
      <c r="IY21" s="133">
        <v>9478</v>
      </c>
      <c r="IZ21" s="134">
        <v>0.06</v>
      </c>
      <c r="JA21" s="134">
        <v>0.193</v>
      </c>
      <c r="JB21" s="134">
        <v>6.3E-2</v>
      </c>
      <c r="JC21" s="134">
        <v>0.20799999999999999</v>
      </c>
      <c r="JD21" s="134">
        <v>6.9000000000000006E-2</v>
      </c>
      <c r="JE21" s="134">
        <v>0.24</v>
      </c>
      <c r="JF21" s="134">
        <v>5.3999999999999999E-2</v>
      </c>
      <c r="JG21" s="134">
        <v>0.124</v>
      </c>
      <c r="JH21" s="134">
        <v>6.7000000000000004E-2</v>
      </c>
      <c r="JI21" s="134">
        <v>0.23100000000000001</v>
      </c>
      <c r="JJ21" s="134">
        <v>0</v>
      </c>
      <c r="JK21" s="135">
        <v>0</v>
      </c>
    </row>
    <row r="22" spans="1:271" ht="15.75" thickBot="1">
      <c r="B22" s="13"/>
      <c r="C22" s="12"/>
      <c r="D22" s="12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5"/>
      <c r="P22" s="15"/>
      <c r="Q22" s="11"/>
    </row>
    <row r="23" spans="1:271">
      <c r="A23" s="60" t="s">
        <v>1</v>
      </c>
      <c r="B23" s="102" t="s">
        <v>88</v>
      </c>
      <c r="C23" s="102" t="s">
        <v>89</v>
      </c>
      <c r="D23" s="101" t="s">
        <v>2</v>
      </c>
      <c r="E23" s="103"/>
      <c r="F23" s="103"/>
      <c r="G23" s="101" t="s">
        <v>83</v>
      </c>
      <c r="H23" s="115" t="s">
        <v>84</v>
      </c>
      <c r="I23" s="105"/>
      <c r="J23" s="13"/>
      <c r="K23" s="13"/>
      <c r="L23" s="13"/>
      <c r="M23" s="13"/>
      <c r="N23" s="13"/>
      <c r="O23" s="13"/>
      <c r="P23" s="13"/>
      <c r="Q23" s="13"/>
    </row>
    <row r="24" spans="1:271">
      <c r="A24" s="104">
        <v>1</v>
      </c>
      <c r="B24" s="75" t="s">
        <v>25</v>
      </c>
      <c r="C24" s="75" t="s">
        <v>86</v>
      </c>
      <c r="D24" s="119" t="str">
        <f>Cell_Valor($A$1,G24,H24)</f>
        <v>EPROTENAX COMPACT 105 - 3,6/6 kV</v>
      </c>
      <c r="E24" s="59"/>
      <c r="F24" s="59"/>
      <c r="G24" s="4">
        <f>ROW($B$7)</f>
        <v>7</v>
      </c>
      <c r="H24" s="116">
        <f t="shared" ref="H24:H41" si="0">COLUMN($B$7)+15*(A24-1)</f>
        <v>2</v>
      </c>
      <c r="I24" s="59"/>
    </row>
    <row r="25" spans="1:271">
      <c r="A25" s="104">
        <v>2</v>
      </c>
      <c r="B25" s="75" t="s">
        <v>25</v>
      </c>
      <c r="C25" s="75" t="s">
        <v>117</v>
      </c>
      <c r="D25" s="119" t="str">
        <f>Cell_Valor($A$1,G25,H25)</f>
        <v>EPROTENAX COMPACT 105 - 6/10 kV</v>
      </c>
      <c r="E25" s="59"/>
      <c r="F25" s="59"/>
      <c r="G25" s="4">
        <f t="shared" ref="G25:G41" si="1">ROW($B$7)</f>
        <v>7</v>
      </c>
      <c r="H25" s="116">
        <f t="shared" si="0"/>
        <v>17</v>
      </c>
      <c r="I25" s="59"/>
    </row>
    <row r="26" spans="1:271">
      <c r="A26" s="104">
        <v>3</v>
      </c>
      <c r="B26" s="75" t="s">
        <v>25</v>
      </c>
      <c r="C26" s="75" t="s">
        <v>90</v>
      </c>
      <c r="D26" s="119" t="str">
        <f t="shared" ref="D26:D41" si="2">Cell_Valor($A$1,G26,H26)</f>
        <v>EPROTENAX COMPACT 105 - 8,7/15 kV</v>
      </c>
      <c r="E26" s="59"/>
      <c r="F26" s="59"/>
      <c r="G26" s="4">
        <f t="shared" si="1"/>
        <v>7</v>
      </c>
      <c r="H26" s="116">
        <f t="shared" si="0"/>
        <v>32</v>
      </c>
      <c r="I26" s="59"/>
    </row>
    <row r="27" spans="1:271">
      <c r="A27" s="104">
        <v>4</v>
      </c>
      <c r="B27" s="75" t="s">
        <v>25</v>
      </c>
      <c r="C27" s="75" t="s">
        <v>87</v>
      </c>
      <c r="D27" s="119" t="str">
        <f t="shared" si="2"/>
        <v>EPROTENAX COMPACT 105 - 12/20 kV</v>
      </c>
      <c r="E27" s="59"/>
      <c r="F27" s="59"/>
      <c r="G27" s="4">
        <f t="shared" si="1"/>
        <v>7</v>
      </c>
      <c r="H27" s="116">
        <f t="shared" si="0"/>
        <v>47</v>
      </c>
      <c r="I27" s="59"/>
    </row>
    <row r="28" spans="1:271">
      <c r="A28" s="104">
        <v>5</v>
      </c>
      <c r="B28" s="75" t="s">
        <v>25</v>
      </c>
      <c r="C28" s="75" t="s">
        <v>118</v>
      </c>
      <c r="D28" s="119" t="str">
        <f t="shared" si="2"/>
        <v>EPROTENAX COMPACT 105 - 15/25 kV</v>
      </c>
      <c r="E28" s="59"/>
      <c r="F28" s="59"/>
      <c r="G28" s="4">
        <f t="shared" si="1"/>
        <v>7</v>
      </c>
      <c r="H28" s="116">
        <f t="shared" si="0"/>
        <v>62</v>
      </c>
      <c r="I28" s="59"/>
    </row>
    <row r="29" spans="1:271">
      <c r="A29" s="104">
        <v>6</v>
      </c>
      <c r="B29" s="75" t="s">
        <v>25</v>
      </c>
      <c r="C29" s="75" t="s">
        <v>91</v>
      </c>
      <c r="D29" s="119" t="str">
        <f t="shared" si="2"/>
        <v>EPROTENAX COMPACT 105 - 20/35 kV</v>
      </c>
      <c r="E29" s="59"/>
      <c r="F29" s="59"/>
      <c r="G29" s="4">
        <f t="shared" si="1"/>
        <v>7</v>
      </c>
      <c r="H29" s="116">
        <f t="shared" si="0"/>
        <v>77</v>
      </c>
      <c r="I29" s="59"/>
    </row>
    <row r="30" spans="1:271">
      <c r="A30" s="104">
        <v>7</v>
      </c>
      <c r="B30" s="75" t="s">
        <v>114</v>
      </c>
      <c r="C30" s="75" t="s">
        <v>86</v>
      </c>
      <c r="D30" s="119" t="str">
        <f t="shared" si="2"/>
        <v xml:space="preserve">EPROTENAX COMPACT - 3,6/6 kV </v>
      </c>
      <c r="E30" s="59"/>
      <c r="F30" s="59"/>
      <c r="G30" s="4">
        <f t="shared" si="1"/>
        <v>7</v>
      </c>
      <c r="H30" s="116">
        <f t="shared" si="0"/>
        <v>92</v>
      </c>
      <c r="I30" s="59"/>
    </row>
    <row r="31" spans="1:271">
      <c r="A31" s="104">
        <v>8</v>
      </c>
      <c r="B31" s="75" t="s">
        <v>114</v>
      </c>
      <c r="C31" s="75" t="s">
        <v>117</v>
      </c>
      <c r="D31" s="119" t="str">
        <f t="shared" si="2"/>
        <v>EPROTENAX COMPACT - 6/10 kV</v>
      </c>
      <c r="E31" s="59"/>
      <c r="F31" s="59"/>
      <c r="G31" s="4">
        <f t="shared" si="1"/>
        <v>7</v>
      </c>
      <c r="H31" s="116">
        <f t="shared" si="0"/>
        <v>107</v>
      </c>
      <c r="I31" s="59"/>
    </row>
    <row r="32" spans="1:271">
      <c r="A32" s="104">
        <v>9</v>
      </c>
      <c r="B32" s="75" t="s">
        <v>114</v>
      </c>
      <c r="C32" s="75" t="s">
        <v>90</v>
      </c>
      <c r="D32" s="119" t="str">
        <f t="shared" si="2"/>
        <v xml:space="preserve">EPROTENAX COMPACT - 8,7/15 kV </v>
      </c>
      <c r="E32" s="59"/>
      <c r="F32" s="59"/>
      <c r="G32" s="4">
        <f t="shared" si="1"/>
        <v>7</v>
      </c>
      <c r="H32" s="116">
        <f t="shared" si="0"/>
        <v>122</v>
      </c>
      <c r="I32" s="59"/>
    </row>
    <row r="33" spans="1:17">
      <c r="A33" s="104">
        <v>10</v>
      </c>
      <c r="B33" s="75" t="s">
        <v>114</v>
      </c>
      <c r="C33" s="75" t="s">
        <v>87</v>
      </c>
      <c r="D33" s="119" t="str">
        <f t="shared" si="2"/>
        <v>EPROTENAX COMPACT - 12/20 kV</v>
      </c>
      <c r="E33" s="59"/>
      <c r="F33" s="59"/>
      <c r="G33" s="4">
        <f t="shared" si="1"/>
        <v>7</v>
      </c>
      <c r="H33" s="116">
        <f t="shared" si="0"/>
        <v>137</v>
      </c>
      <c r="I33" s="59"/>
    </row>
    <row r="34" spans="1:17">
      <c r="A34" s="104">
        <v>11</v>
      </c>
      <c r="B34" s="75" t="s">
        <v>114</v>
      </c>
      <c r="C34" s="75" t="s">
        <v>118</v>
      </c>
      <c r="D34" s="119" t="str">
        <f t="shared" si="2"/>
        <v>EPROTENAX COMPACT - 15/25 kV</v>
      </c>
      <c r="E34" s="59"/>
      <c r="F34" s="59"/>
      <c r="G34" s="4">
        <f t="shared" si="1"/>
        <v>7</v>
      </c>
      <c r="H34" s="116">
        <f t="shared" si="0"/>
        <v>152</v>
      </c>
      <c r="I34" s="59"/>
    </row>
    <row r="35" spans="1:17">
      <c r="A35" s="104">
        <v>12</v>
      </c>
      <c r="B35" s="75" t="s">
        <v>114</v>
      </c>
      <c r="C35" s="75" t="s">
        <v>91</v>
      </c>
      <c r="D35" s="119" t="str">
        <f t="shared" si="2"/>
        <v>EPROTENAX COMPACT - 20/35 kV</v>
      </c>
      <c r="E35" s="105"/>
      <c r="F35" s="105"/>
      <c r="G35" s="4">
        <f t="shared" si="1"/>
        <v>7</v>
      </c>
      <c r="H35" s="116">
        <f t="shared" si="0"/>
        <v>167</v>
      </c>
      <c r="I35" s="105"/>
      <c r="J35" s="13"/>
      <c r="K35" s="13"/>
      <c r="L35" s="13"/>
      <c r="M35" s="13"/>
      <c r="N35" s="13"/>
      <c r="O35" s="13"/>
      <c r="P35" s="14"/>
      <c r="Q35" s="14"/>
    </row>
    <row r="36" spans="1:17">
      <c r="A36" s="104">
        <v>13</v>
      </c>
      <c r="B36" s="75" t="s">
        <v>92</v>
      </c>
      <c r="C36" s="75" t="s">
        <v>86</v>
      </c>
      <c r="D36" s="119" t="str">
        <f t="shared" si="2"/>
        <v>EPROTENAX E VOLTALENE - 3,6/6 kV</v>
      </c>
      <c r="E36" s="59"/>
      <c r="F36" s="59"/>
      <c r="G36" s="4">
        <f t="shared" si="1"/>
        <v>7</v>
      </c>
      <c r="H36" s="116">
        <f t="shared" si="0"/>
        <v>182</v>
      </c>
      <c r="I36" s="59"/>
    </row>
    <row r="37" spans="1:17">
      <c r="A37" s="104">
        <v>14</v>
      </c>
      <c r="B37" s="75" t="s">
        <v>92</v>
      </c>
      <c r="C37" s="75" t="s">
        <v>117</v>
      </c>
      <c r="D37" s="119" t="str">
        <f t="shared" si="2"/>
        <v>EPROTENAX E VOLTALENE - 6/10 kV</v>
      </c>
      <c r="E37" s="59"/>
      <c r="F37" s="59"/>
      <c r="G37" s="4">
        <f t="shared" si="1"/>
        <v>7</v>
      </c>
      <c r="H37" s="116">
        <f t="shared" si="0"/>
        <v>197</v>
      </c>
      <c r="I37" s="59"/>
    </row>
    <row r="38" spans="1:17">
      <c r="A38" s="104">
        <v>15</v>
      </c>
      <c r="B38" s="75" t="s">
        <v>92</v>
      </c>
      <c r="C38" s="75" t="s">
        <v>90</v>
      </c>
      <c r="D38" s="119" t="str">
        <f t="shared" si="2"/>
        <v>EPROTENAX E VOLTALENE - 8,7/15 kV</v>
      </c>
      <c r="E38" s="59"/>
      <c r="F38" s="59"/>
      <c r="G38" s="4">
        <f t="shared" si="1"/>
        <v>7</v>
      </c>
      <c r="H38" s="116">
        <f t="shared" si="0"/>
        <v>212</v>
      </c>
      <c r="I38" s="59"/>
    </row>
    <row r="39" spans="1:17">
      <c r="A39" s="104">
        <v>16</v>
      </c>
      <c r="B39" s="75" t="s">
        <v>92</v>
      </c>
      <c r="C39" s="75" t="s">
        <v>87</v>
      </c>
      <c r="D39" s="119" t="str">
        <f t="shared" si="2"/>
        <v>EPROTENAX E VOLTALENE - 12/20 kV</v>
      </c>
      <c r="E39" s="59"/>
      <c r="F39" s="59"/>
      <c r="G39" s="4">
        <f t="shared" si="1"/>
        <v>7</v>
      </c>
      <c r="H39" s="116">
        <f t="shared" si="0"/>
        <v>227</v>
      </c>
      <c r="I39" s="59"/>
    </row>
    <row r="40" spans="1:17">
      <c r="A40" s="104">
        <v>17</v>
      </c>
      <c r="B40" s="75" t="s">
        <v>92</v>
      </c>
      <c r="C40" s="75" t="s">
        <v>118</v>
      </c>
      <c r="D40" s="119" t="str">
        <f t="shared" si="2"/>
        <v>EPROTENAX E VOLTALENE - 15/25 kV</v>
      </c>
      <c r="E40" s="59"/>
      <c r="F40" s="59"/>
      <c r="G40" s="4">
        <f t="shared" si="1"/>
        <v>7</v>
      </c>
      <c r="H40" s="116">
        <f t="shared" si="0"/>
        <v>242</v>
      </c>
      <c r="I40" s="59"/>
    </row>
    <row r="41" spans="1:17" ht="15.75" thickBot="1">
      <c r="A41" s="106">
        <v>18</v>
      </c>
      <c r="B41" s="79" t="s">
        <v>92</v>
      </c>
      <c r="C41" s="79" t="s">
        <v>91</v>
      </c>
      <c r="D41" s="120" t="str">
        <f t="shared" si="2"/>
        <v>EPROTENAX E VOLTALENE - 20/35 kV</v>
      </c>
      <c r="E41" s="69"/>
      <c r="F41" s="69"/>
      <c r="G41" s="117">
        <f t="shared" si="1"/>
        <v>7</v>
      </c>
      <c r="H41" s="118">
        <f t="shared" si="0"/>
        <v>257</v>
      </c>
      <c r="I41" s="59"/>
    </row>
    <row r="42" spans="1:17" s="57" customFormat="1" ht="15.75" thickBot="1">
      <c r="A42" s="114"/>
      <c r="B42" s="59"/>
      <c r="C42" s="59"/>
      <c r="D42" s="75"/>
      <c r="E42" s="75"/>
      <c r="F42" s="65"/>
      <c r="G42" s="59"/>
      <c r="H42" s="59"/>
      <c r="I42" s="59"/>
    </row>
    <row r="43" spans="1:17" s="57" customFormat="1">
      <c r="A43" s="60" t="s">
        <v>1</v>
      </c>
      <c r="B43" s="101" t="s">
        <v>121</v>
      </c>
      <c r="C43" s="102"/>
      <c r="D43" s="112"/>
      <c r="E43" s="62"/>
      <c r="F43" s="65"/>
      <c r="G43" s="59"/>
      <c r="H43" s="59"/>
      <c r="I43" s="59"/>
    </row>
    <row r="44" spans="1:17" ht="15" customHeight="1">
      <c r="A44" s="104">
        <v>1</v>
      </c>
      <c r="B44" s="65" t="s">
        <v>127</v>
      </c>
      <c r="C44" s="64"/>
      <c r="D44" s="59"/>
      <c r="E44" s="66"/>
      <c r="F44" s="59"/>
      <c r="G44" s="59"/>
      <c r="H44" s="9"/>
    </row>
    <row r="45" spans="1:17">
      <c r="A45" s="104">
        <v>2</v>
      </c>
      <c r="B45" s="65" t="s">
        <v>77</v>
      </c>
      <c r="C45" s="64"/>
      <c r="D45" s="59"/>
      <c r="E45" s="66"/>
      <c r="F45" s="59"/>
      <c r="G45" s="59"/>
      <c r="H45" s="64"/>
    </row>
    <row r="46" spans="1:17">
      <c r="A46" s="104">
        <v>3</v>
      </c>
      <c r="B46" s="65" t="s">
        <v>78</v>
      </c>
      <c r="C46" s="64"/>
      <c r="D46" s="59"/>
      <c r="E46" s="66"/>
      <c r="F46" s="59"/>
      <c r="G46" s="59"/>
      <c r="H46" s="64"/>
    </row>
    <row r="47" spans="1:17">
      <c r="A47" s="104">
        <v>4</v>
      </c>
      <c r="B47" s="65" t="s">
        <v>128</v>
      </c>
      <c r="C47" s="64"/>
      <c r="D47" s="59"/>
      <c r="E47" s="66"/>
      <c r="F47" s="59"/>
      <c r="G47" s="59"/>
      <c r="H47" s="9"/>
    </row>
    <row r="48" spans="1:17">
      <c r="A48" s="104">
        <v>5</v>
      </c>
      <c r="B48" s="65" t="s">
        <v>129</v>
      </c>
      <c r="C48" s="65"/>
      <c r="D48" s="59"/>
      <c r="E48" s="66"/>
      <c r="F48" s="59"/>
      <c r="G48" s="59"/>
      <c r="H48" s="9"/>
    </row>
    <row r="49" spans="1:8">
      <c r="A49" s="104">
        <v>6</v>
      </c>
      <c r="B49" s="65" t="s">
        <v>130</v>
      </c>
      <c r="C49" s="64"/>
      <c r="D49" s="59"/>
      <c r="E49" s="66"/>
      <c r="F49" s="59"/>
      <c r="G49" s="59"/>
      <c r="H49" s="9"/>
    </row>
    <row r="50" spans="1:8">
      <c r="A50" s="104">
        <v>7</v>
      </c>
      <c r="B50" s="65" t="s">
        <v>131</v>
      </c>
      <c r="C50" s="64"/>
      <c r="D50" s="59"/>
      <c r="E50" s="66"/>
      <c r="F50" s="59"/>
      <c r="G50" s="59"/>
      <c r="H50" s="9"/>
    </row>
    <row r="51" spans="1:8">
      <c r="A51" s="104">
        <v>8</v>
      </c>
      <c r="B51" s="65" t="s">
        <v>132</v>
      </c>
      <c r="C51" s="64"/>
      <c r="D51" s="59"/>
      <c r="E51" s="66"/>
      <c r="F51" s="59"/>
      <c r="G51" s="59"/>
      <c r="H51" s="9"/>
    </row>
    <row r="52" spans="1:8">
      <c r="A52" s="104">
        <v>9</v>
      </c>
      <c r="B52" s="65" t="s">
        <v>133</v>
      </c>
      <c r="C52" s="64"/>
      <c r="D52" s="59"/>
      <c r="E52" s="66"/>
      <c r="F52" s="59"/>
      <c r="G52" s="59"/>
      <c r="H52" s="9"/>
    </row>
    <row r="53" spans="1:8">
      <c r="A53" s="104">
        <v>10</v>
      </c>
      <c r="B53" s="65" t="s">
        <v>134</v>
      </c>
      <c r="C53" s="64"/>
      <c r="D53" s="59"/>
      <c r="E53" s="66"/>
      <c r="F53" s="59"/>
      <c r="G53" s="59"/>
      <c r="H53" s="9"/>
    </row>
    <row r="54" spans="1:8">
      <c r="A54" s="104">
        <v>11</v>
      </c>
      <c r="B54" s="65" t="s">
        <v>135</v>
      </c>
      <c r="C54" s="64"/>
      <c r="D54" s="59"/>
      <c r="E54" s="66"/>
      <c r="F54" s="59"/>
      <c r="G54" s="59"/>
      <c r="H54" s="9"/>
    </row>
    <row r="55" spans="1:8">
      <c r="A55" s="104">
        <v>12</v>
      </c>
      <c r="B55" s="65" t="s">
        <v>136</v>
      </c>
      <c r="C55" s="64"/>
      <c r="D55" s="59"/>
      <c r="E55" s="66"/>
      <c r="F55" s="59"/>
      <c r="G55" s="59"/>
      <c r="H55" s="9"/>
    </row>
    <row r="56" spans="1:8">
      <c r="A56" s="104">
        <v>13</v>
      </c>
      <c r="B56" s="65" t="s">
        <v>137</v>
      </c>
      <c r="C56" s="64"/>
      <c r="D56" s="59"/>
      <c r="E56" s="66"/>
      <c r="F56" s="59"/>
      <c r="G56" s="59"/>
      <c r="H56" s="9"/>
    </row>
    <row r="57" spans="1:8">
      <c r="A57" s="104">
        <v>14</v>
      </c>
      <c r="B57" s="65" t="s">
        <v>138</v>
      </c>
      <c r="C57" s="64"/>
      <c r="D57" s="59"/>
      <c r="E57" s="66"/>
      <c r="F57" s="59"/>
      <c r="G57" s="59"/>
      <c r="H57" s="9"/>
    </row>
    <row r="58" spans="1:8" ht="15.75" thickBot="1">
      <c r="A58" s="106">
        <v>15</v>
      </c>
      <c r="B58" s="231" t="s">
        <v>139</v>
      </c>
      <c r="C58" s="68"/>
      <c r="D58" s="69"/>
      <c r="E58" s="30"/>
      <c r="F58" s="59"/>
      <c r="G58" s="59"/>
      <c r="H58" s="9"/>
    </row>
    <row r="59" spans="1:8">
      <c r="A59" s="114"/>
      <c r="B59" s="59"/>
      <c r="C59" s="59"/>
      <c r="F59" s="59"/>
      <c r="G59" s="59"/>
    </row>
    <row r="60" spans="1:8">
      <c r="A60" s="113"/>
      <c r="B60" s="113"/>
      <c r="C60" s="113"/>
    </row>
    <row r="61" spans="1:8">
      <c r="A61" s="113"/>
      <c r="B61" s="113"/>
      <c r="C61" s="113"/>
    </row>
    <row r="62" spans="1:8">
      <c r="A62" s="113"/>
      <c r="B62" s="113"/>
      <c r="C62" s="113"/>
    </row>
    <row r="63" spans="1:8">
      <c r="A63" s="113"/>
      <c r="B63" s="113"/>
      <c r="C63" s="113"/>
    </row>
    <row r="64" spans="1:8">
      <c r="A64" s="113"/>
      <c r="B64" s="113"/>
      <c r="C64" s="113"/>
    </row>
    <row r="65" spans="1:3">
      <c r="A65" s="113"/>
      <c r="B65" s="113"/>
      <c r="C65" s="113"/>
    </row>
    <row r="66" spans="1:3">
      <c r="A66" s="113"/>
      <c r="B66" s="113"/>
      <c r="C66" s="113"/>
    </row>
    <row r="67" spans="1:3">
      <c r="A67" s="113"/>
      <c r="B67" s="113"/>
      <c r="C67" s="113"/>
    </row>
    <row r="68" spans="1:3">
      <c r="A68" s="113"/>
      <c r="B68" s="113"/>
      <c r="C68" s="113"/>
    </row>
    <row r="69" spans="1:3">
      <c r="A69" s="113"/>
      <c r="B69" s="113"/>
      <c r="C69" s="113"/>
    </row>
    <row r="70" spans="1:3">
      <c r="A70" s="113"/>
      <c r="B70" s="113"/>
      <c r="C70" s="113"/>
    </row>
    <row r="71" spans="1:3">
      <c r="A71" s="113"/>
      <c r="B71" s="113"/>
      <c r="C71" s="113"/>
    </row>
    <row r="72" spans="1:3">
      <c r="A72" s="113"/>
      <c r="B72" s="113"/>
      <c r="C72" s="113"/>
    </row>
    <row r="73" spans="1:3">
      <c r="A73" s="113"/>
      <c r="B73" s="113"/>
      <c r="C73" s="113"/>
    </row>
    <row r="74" spans="1:3">
      <c r="A74" s="113"/>
      <c r="B74" s="113"/>
      <c r="C74" s="113"/>
    </row>
    <row r="75" spans="1:3">
      <c r="A75" s="113"/>
      <c r="B75" s="113"/>
      <c r="C75" s="113"/>
    </row>
    <row r="76" spans="1:3">
      <c r="A76" s="113"/>
      <c r="B76" s="113"/>
      <c r="C76" s="113"/>
    </row>
  </sheetData>
  <mergeCells count="181">
    <mergeCell ref="JF2:JG2"/>
    <mergeCell ref="JH2:JI2"/>
    <mergeCell ref="JJ2:JK2"/>
    <mergeCell ref="IQ2:IR2"/>
    <mergeCell ref="IS2:IT2"/>
    <mergeCell ref="IU2:IV2"/>
    <mergeCell ref="IZ1:JE1"/>
    <mergeCell ref="IW2:IW3"/>
    <mergeCell ref="IX2:IX3"/>
    <mergeCell ref="IY2:IY3"/>
    <mergeCell ref="IZ2:JA2"/>
    <mergeCell ref="JB2:JC2"/>
    <mergeCell ref="JD2:JE2"/>
    <mergeCell ref="IB2:IC2"/>
    <mergeCell ref="ID2:IE2"/>
    <mergeCell ref="IF2:IG2"/>
    <mergeCell ref="IK1:IP1"/>
    <mergeCell ref="IH2:IH3"/>
    <mergeCell ref="II2:II3"/>
    <mergeCell ref="IJ2:IJ3"/>
    <mergeCell ref="IK2:IL2"/>
    <mergeCell ref="IM2:IN2"/>
    <mergeCell ref="IO2:IP2"/>
    <mergeCell ref="HM2:HN2"/>
    <mergeCell ref="HO2:HP2"/>
    <mergeCell ref="HQ2:HR2"/>
    <mergeCell ref="HV1:IA1"/>
    <mergeCell ref="HS2:HS3"/>
    <mergeCell ref="HT2:HT3"/>
    <mergeCell ref="HU2:HU3"/>
    <mergeCell ref="HV2:HW2"/>
    <mergeCell ref="HX2:HY2"/>
    <mergeCell ref="HZ2:IA2"/>
    <mergeCell ref="GX2:GY2"/>
    <mergeCell ref="GZ2:HA2"/>
    <mergeCell ref="HB2:HC2"/>
    <mergeCell ref="HG1:HL1"/>
    <mergeCell ref="HD2:HD3"/>
    <mergeCell ref="HE2:HE3"/>
    <mergeCell ref="HF2:HF3"/>
    <mergeCell ref="HG2:HH2"/>
    <mergeCell ref="HI2:HJ2"/>
    <mergeCell ref="HK2:HL2"/>
    <mergeCell ref="GI2:GJ2"/>
    <mergeCell ref="GK2:GL2"/>
    <mergeCell ref="GM2:GN2"/>
    <mergeCell ref="GR1:GW1"/>
    <mergeCell ref="GO2:GO3"/>
    <mergeCell ref="GP2:GP3"/>
    <mergeCell ref="GQ2:GQ3"/>
    <mergeCell ref="GR2:GS2"/>
    <mergeCell ref="GT2:GU2"/>
    <mergeCell ref="GV2:GW2"/>
    <mergeCell ref="FT2:FU2"/>
    <mergeCell ref="FV2:FW2"/>
    <mergeCell ref="FX2:FY2"/>
    <mergeCell ref="GC1:GH1"/>
    <mergeCell ref="FZ2:FZ3"/>
    <mergeCell ref="GA2:GA3"/>
    <mergeCell ref="GB2:GB3"/>
    <mergeCell ref="GC2:GD2"/>
    <mergeCell ref="GE2:GF2"/>
    <mergeCell ref="GG2:GH2"/>
    <mergeCell ref="FE2:FF2"/>
    <mergeCell ref="FG2:FH2"/>
    <mergeCell ref="FI2:FJ2"/>
    <mergeCell ref="FN1:FS1"/>
    <mergeCell ref="FK2:FK3"/>
    <mergeCell ref="FL2:FL3"/>
    <mergeCell ref="FM2:FM3"/>
    <mergeCell ref="FN2:FO2"/>
    <mergeCell ref="FP2:FQ2"/>
    <mergeCell ref="FR2:FS2"/>
    <mergeCell ref="EP2:EQ2"/>
    <mergeCell ref="ER2:ES2"/>
    <mergeCell ref="ET2:EU2"/>
    <mergeCell ref="EY1:FD1"/>
    <mergeCell ref="EV2:EV3"/>
    <mergeCell ref="EW2:EW3"/>
    <mergeCell ref="EX2:EX3"/>
    <mergeCell ref="EY2:EZ2"/>
    <mergeCell ref="FA2:FB2"/>
    <mergeCell ref="FC2:FD2"/>
    <mergeCell ref="EA2:EB2"/>
    <mergeCell ref="EC2:ED2"/>
    <mergeCell ref="EE2:EF2"/>
    <mergeCell ref="EJ1:EO1"/>
    <mergeCell ref="EG2:EG3"/>
    <mergeCell ref="EH2:EH3"/>
    <mergeCell ref="EI2:EI3"/>
    <mergeCell ref="EJ2:EK2"/>
    <mergeCell ref="EL2:EM2"/>
    <mergeCell ref="EN2:EO2"/>
    <mergeCell ref="DL2:DM2"/>
    <mergeCell ref="DN2:DO2"/>
    <mergeCell ref="DP2:DQ2"/>
    <mergeCell ref="DU1:DZ1"/>
    <mergeCell ref="DR2:DR3"/>
    <mergeCell ref="DS2:DS3"/>
    <mergeCell ref="DT2:DT3"/>
    <mergeCell ref="DU2:DV2"/>
    <mergeCell ref="DW2:DX2"/>
    <mergeCell ref="DY2:DZ2"/>
    <mergeCell ref="CW2:CX2"/>
    <mergeCell ref="CY2:CZ2"/>
    <mergeCell ref="DA2:DB2"/>
    <mergeCell ref="DF1:DK1"/>
    <mergeCell ref="DC2:DC3"/>
    <mergeCell ref="DD2:DD3"/>
    <mergeCell ref="DE2:DE3"/>
    <mergeCell ref="DF2:DG2"/>
    <mergeCell ref="DH2:DI2"/>
    <mergeCell ref="DJ2:DK2"/>
    <mergeCell ref="CH2:CI2"/>
    <mergeCell ref="CJ2:CK2"/>
    <mergeCell ref="CL2:CM2"/>
    <mergeCell ref="CQ1:CV1"/>
    <mergeCell ref="CN2:CN3"/>
    <mergeCell ref="CO2:CO3"/>
    <mergeCell ref="CP2:CP3"/>
    <mergeCell ref="CQ2:CR2"/>
    <mergeCell ref="CS2:CT2"/>
    <mergeCell ref="CU2:CV2"/>
    <mergeCell ref="BS2:BT2"/>
    <mergeCell ref="BU2:BV2"/>
    <mergeCell ref="BW2:BX2"/>
    <mergeCell ref="CB1:CG1"/>
    <mergeCell ref="BY2:BY3"/>
    <mergeCell ref="BZ2:BZ3"/>
    <mergeCell ref="CA2:CA3"/>
    <mergeCell ref="CB2:CC2"/>
    <mergeCell ref="CD2:CE2"/>
    <mergeCell ref="CF2:CG2"/>
    <mergeCell ref="BD2:BE2"/>
    <mergeCell ref="BF2:BG2"/>
    <mergeCell ref="BH2:BI2"/>
    <mergeCell ref="BM1:BR1"/>
    <mergeCell ref="BJ2:BJ3"/>
    <mergeCell ref="BK2:BK3"/>
    <mergeCell ref="BL2:BL3"/>
    <mergeCell ref="BM2:BN2"/>
    <mergeCell ref="BO2:BP2"/>
    <mergeCell ref="BQ2:BR2"/>
    <mergeCell ref="AO2:AP2"/>
    <mergeCell ref="AQ2:AR2"/>
    <mergeCell ref="AS2:AT2"/>
    <mergeCell ref="AX1:BC1"/>
    <mergeCell ref="AU2:AU3"/>
    <mergeCell ref="AV2:AV3"/>
    <mergeCell ref="AW2:AW3"/>
    <mergeCell ref="AX2:AY2"/>
    <mergeCell ref="AZ2:BA2"/>
    <mergeCell ref="BB2:BC2"/>
    <mergeCell ref="AI1:AN1"/>
    <mergeCell ref="AF2:AF3"/>
    <mergeCell ref="AG2:AG3"/>
    <mergeCell ref="AH2:AH3"/>
    <mergeCell ref="AI2:AJ2"/>
    <mergeCell ref="AK2:AL2"/>
    <mergeCell ref="AM2:AN2"/>
    <mergeCell ref="T1:Y1"/>
    <mergeCell ref="T2:U2"/>
    <mergeCell ref="V2:W2"/>
    <mergeCell ref="X2:Y2"/>
    <mergeCell ref="Z2:AA2"/>
    <mergeCell ref="AB2:AC2"/>
    <mergeCell ref="AD2:AE2"/>
    <mergeCell ref="K2:L2"/>
    <mergeCell ref="M2:N2"/>
    <mergeCell ref="O2:P2"/>
    <mergeCell ref="E1:J1"/>
    <mergeCell ref="D2:D3"/>
    <mergeCell ref="Q2:Q3"/>
    <mergeCell ref="R2:R3"/>
    <mergeCell ref="S2:S3"/>
    <mergeCell ref="A2:A3"/>
    <mergeCell ref="B2:B3"/>
    <mergeCell ref="C2:C3"/>
    <mergeCell ref="E2:F2"/>
    <mergeCell ref="G2:H2"/>
    <mergeCell ref="I2:J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A1:AA17"/>
  <sheetViews>
    <sheetView tabSelected="1" topLeftCell="C1" zoomScale="70" zoomScaleNormal="70" workbookViewId="0">
      <selection activeCell="L20" sqref="L20:L25"/>
    </sheetView>
  </sheetViews>
  <sheetFormatPr defaultRowHeight="15.75"/>
  <cols>
    <col min="1" max="1" width="10.140625" style="247" customWidth="1"/>
    <col min="2" max="4" width="9.140625" style="247"/>
    <col min="5" max="5" width="7.28515625" style="247" customWidth="1"/>
    <col min="6" max="6" width="11.42578125" style="247" customWidth="1"/>
    <col min="7" max="8" width="6.85546875" style="247" customWidth="1"/>
    <col min="9" max="9" width="7.140625" style="247" customWidth="1"/>
    <col min="10" max="10" width="26.140625" style="247" customWidth="1"/>
    <col min="11" max="11" width="9.140625" style="247"/>
    <col min="12" max="12" width="43.85546875" style="247" bestFit="1" customWidth="1"/>
    <col min="13" max="13" width="17.42578125" style="247" customWidth="1"/>
    <col min="14" max="14" width="12" style="247" customWidth="1"/>
    <col min="15" max="15" width="9.5703125" style="247" customWidth="1"/>
    <col min="16" max="16" width="13.85546875" style="247" customWidth="1"/>
    <col min="17" max="17" width="9.140625" style="247" customWidth="1"/>
    <col min="18" max="18" width="13" style="247" customWidth="1"/>
    <col min="19" max="19" width="14.42578125" style="247" customWidth="1"/>
    <col min="20" max="20" width="12.42578125" style="247" customWidth="1"/>
    <col min="21" max="22" width="11.85546875" style="247" customWidth="1"/>
    <col min="23" max="23" width="13.28515625" style="247" customWidth="1"/>
    <col min="24" max="24" width="10" style="247" customWidth="1"/>
    <col min="25" max="25" width="8.85546875" style="247" customWidth="1"/>
    <col min="26" max="26" width="10.28515625" style="247" customWidth="1"/>
    <col min="27" max="27" width="30.140625" style="247" bestFit="1" customWidth="1"/>
    <col min="28" max="28" width="21" style="247" customWidth="1"/>
    <col min="29" max="16384" width="9.140625" style="247"/>
  </cols>
  <sheetData>
    <row r="1" spans="1:27">
      <c r="A1" s="245">
        <f>1</f>
        <v>1</v>
      </c>
      <c r="B1" s="245">
        <f>A1+1</f>
        <v>2</v>
      </c>
      <c r="C1" s="245">
        <f t="shared" ref="C1:L1" si="0">B1+1</f>
        <v>3</v>
      </c>
      <c r="D1" s="245">
        <f t="shared" si="0"/>
        <v>4</v>
      </c>
      <c r="E1" s="245">
        <f t="shared" si="0"/>
        <v>5</v>
      </c>
      <c r="F1" s="245">
        <f t="shared" si="0"/>
        <v>6</v>
      </c>
      <c r="G1" s="245">
        <f t="shared" si="0"/>
        <v>7</v>
      </c>
      <c r="H1" s="245">
        <f t="shared" si="0"/>
        <v>8</v>
      </c>
      <c r="I1" s="245">
        <f t="shared" si="0"/>
        <v>9</v>
      </c>
      <c r="J1" s="245">
        <f t="shared" si="0"/>
        <v>10</v>
      </c>
      <c r="K1" s="245">
        <f t="shared" si="0"/>
        <v>11</v>
      </c>
      <c r="L1" s="245">
        <f t="shared" si="0"/>
        <v>12</v>
      </c>
      <c r="M1" s="245">
        <f t="shared" ref="M1" si="1">L1+1</f>
        <v>13</v>
      </c>
      <c r="N1" s="245">
        <f t="shared" ref="N1" si="2">M1+1</f>
        <v>14</v>
      </c>
      <c r="O1" s="245">
        <f t="shared" ref="O1" si="3">N1+1</f>
        <v>15</v>
      </c>
      <c r="P1" s="245">
        <f t="shared" ref="P1" si="4">O1+1</f>
        <v>16</v>
      </c>
      <c r="Q1" s="245">
        <f t="shared" ref="Q1" si="5">P1+1</f>
        <v>17</v>
      </c>
      <c r="R1" s="245">
        <f t="shared" ref="R1" si="6">Q1+1</f>
        <v>18</v>
      </c>
      <c r="S1" s="245">
        <f t="shared" ref="S1" si="7">R1+1</f>
        <v>19</v>
      </c>
      <c r="T1" s="245">
        <f t="shared" ref="T1" si="8">S1+1</f>
        <v>20</v>
      </c>
      <c r="U1" s="245">
        <f t="shared" ref="U1" si="9">T1+1</f>
        <v>21</v>
      </c>
      <c r="V1" s="245">
        <f t="shared" ref="V1" si="10">U1+1</f>
        <v>22</v>
      </c>
      <c r="W1" s="245">
        <f t="shared" ref="W1" si="11">V1+1</f>
        <v>23</v>
      </c>
      <c r="X1" s="245">
        <f t="shared" ref="X1" si="12">W1+1</f>
        <v>24</v>
      </c>
      <c r="Y1" s="245">
        <f t="shared" ref="Y1" si="13">X1+1</f>
        <v>25</v>
      </c>
      <c r="Z1" s="245">
        <f t="shared" ref="Z1" si="14">Y1+1</f>
        <v>26</v>
      </c>
      <c r="AA1" s="245">
        <f t="shared" ref="AA1" si="15">Z1+1</f>
        <v>27</v>
      </c>
    </row>
    <row r="2" spans="1:27" ht="16.5" thickBot="1">
      <c r="A2" s="245"/>
      <c r="B2" s="245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  <c r="U2" s="245"/>
      <c r="V2" s="245"/>
      <c r="W2" s="245"/>
      <c r="X2" s="245"/>
      <c r="Y2" s="245"/>
      <c r="Z2" s="245"/>
      <c r="AA2" s="245"/>
    </row>
    <row r="3" spans="1:27">
      <c r="A3" s="248" t="s">
        <v>143</v>
      </c>
      <c r="B3" s="249"/>
      <c r="C3" s="283" t="s">
        <v>144</v>
      </c>
      <c r="D3" s="283"/>
      <c r="E3" s="283"/>
      <c r="F3" s="283"/>
      <c r="G3" s="284"/>
      <c r="H3" s="245"/>
    </row>
    <row r="4" spans="1:27">
      <c r="A4" s="250"/>
      <c r="B4" s="251"/>
      <c r="C4" s="285" t="s">
        <v>146</v>
      </c>
      <c r="D4" s="285"/>
      <c r="E4" s="285"/>
      <c r="F4" s="285"/>
      <c r="G4" s="286"/>
      <c r="H4" s="245"/>
      <c r="I4" s="246"/>
      <c r="J4" s="246"/>
    </row>
    <row r="5" spans="1:27" ht="15" customHeight="1">
      <c r="A5" s="250"/>
      <c r="B5" s="253"/>
      <c r="C5" s="285" t="s">
        <v>148</v>
      </c>
      <c r="D5" s="285"/>
      <c r="E5" s="285"/>
      <c r="F5" s="285"/>
      <c r="G5" s="286"/>
      <c r="H5" s="246"/>
    </row>
    <row r="6" spans="1:27" ht="16.5" thickBot="1">
      <c r="A6" s="254"/>
      <c r="B6" s="255"/>
      <c r="C6" s="277" t="s">
        <v>152</v>
      </c>
      <c r="D6" s="277"/>
      <c r="E6" s="277"/>
      <c r="F6" s="277"/>
      <c r="G6" s="278"/>
      <c r="H6" s="246"/>
    </row>
    <row r="7" spans="1:27" ht="16.5" thickBot="1">
      <c r="A7" s="246"/>
      <c r="B7" s="246"/>
      <c r="C7" s="246"/>
      <c r="D7" s="246"/>
      <c r="E7" s="246"/>
      <c r="F7" s="245"/>
      <c r="G7" s="245"/>
      <c r="H7" s="245"/>
    </row>
    <row r="8" spans="1:27">
      <c r="A8" s="248" t="s">
        <v>141</v>
      </c>
      <c r="B8" s="256"/>
      <c r="C8" s="257" t="s">
        <v>142</v>
      </c>
      <c r="D8" s="246"/>
      <c r="E8" s="246"/>
      <c r="F8" s="245"/>
      <c r="G8" s="245"/>
      <c r="H8" s="245"/>
      <c r="I8" s="246"/>
      <c r="J8" s="258"/>
      <c r="K8" s="259"/>
      <c r="L8" s="246"/>
      <c r="M8" s="252"/>
      <c r="N8" s="246"/>
      <c r="O8" s="246"/>
      <c r="P8" s="246"/>
    </row>
    <row r="9" spans="1:27" ht="16.5" thickBot="1">
      <c r="A9" s="254">
        <v>500</v>
      </c>
      <c r="B9" s="260" t="s">
        <v>169</v>
      </c>
      <c r="C9" s="261">
        <f>$A$9*0.736</f>
        <v>368</v>
      </c>
      <c r="D9" s="246"/>
      <c r="E9" s="246"/>
      <c r="F9" s="245"/>
      <c r="G9" s="245"/>
      <c r="H9" s="245"/>
      <c r="I9" s="246"/>
      <c r="J9" s="258"/>
      <c r="K9" s="259"/>
      <c r="L9" s="246"/>
      <c r="M9" s="252"/>
      <c r="N9" s="246"/>
      <c r="O9" s="246"/>
      <c r="P9" s="246"/>
    </row>
    <row r="10" spans="1:27" ht="16.5" thickBot="1">
      <c r="A10" s="246"/>
      <c r="B10" s="246"/>
      <c r="C10" s="247" t="s">
        <v>170</v>
      </c>
      <c r="D10" s="246"/>
      <c r="E10" s="246"/>
      <c r="F10" s="245"/>
      <c r="G10" s="245"/>
      <c r="H10" s="245"/>
      <c r="I10" s="245"/>
    </row>
    <row r="11" spans="1:27">
      <c r="A11" s="275" t="s">
        <v>149</v>
      </c>
      <c r="B11" s="262"/>
      <c r="C11" s="263">
        <v>5</v>
      </c>
      <c r="D11" s="279" t="s">
        <v>150</v>
      </c>
      <c r="E11" s="279"/>
      <c r="F11" s="279"/>
      <c r="G11" s="279"/>
      <c r="H11" s="280"/>
      <c r="I11" s="245"/>
    </row>
    <row r="12" spans="1:27" ht="16.5" thickBot="1">
      <c r="A12" s="276"/>
      <c r="B12" s="264"/>
      <c r="C12" s="265">
        <v>5</v>
      </c>
      <c r="D12" s="281" t="s">
        <v>151</v>
      </c>
      <c r="E12" s="281"/>
      <c r="F12" s="281"/>
      <c r="G12" s="281"/>
      <c r="H12" s="282"/>
      <c r="I12" s="245"/>
    </row>
    <row r="13" spans="1:27" ht="16.5" thickBot="1"/>
    <row r="14" spans="1:27" s="267" customFormat="1" ht="66" customHeight="1" thickBot="1">
      <c r="A14" s="243" t="s">
        <v>140</v>
      </c>
      <c r="B14" s="238" t="s">
        <v>171</v>
      </c>
      <c r="C14" s="239" t="s">
        <v>172</v>
      </c>
      <c r="D14" s="239" t="s">
        <v>173</v>
      </c>
      <c r="E14" s="239" t="s">
        <v>153</v>
      </c>
      <c r="F14" s="242" t="s">
        <v>154</v>
      </c>
      <c r="G14" s="240" t="s">
        <v>155</v>
      </c>
      <c r="H14" s="240" t="s">
        <v>156</v>
      </c>
      <c r="I14" s="266" t="s">
        <v>157</v>
      </c>
      <c r="J14" s="238" t="s">
        <v>145</v>
      </c>
      <c r="K14" s="238" t="s">
        <v>147</v>
      </c>
      <c r="L14" s="238" t="s">
        <v>175</v>
      </c>
      <c r="M14" s="238" t="s">
        <v>176</v>
      </c>
      <c r="N14" s="238" t="s">
        <v>158</v>
      </c>
      <c r="O14" s="240" t="s">
        <v>159</v>
      </c>
      <c r="P14" s="238" t="s">
        <v>184</v>
      </c>
      <c r="Q14" s="238" t="s">
        <v>160</v>
      </c>
      <c r="R14" s="239" t="s">
        <v>161</v>
      </c>
      <c r="S14" s="239" t="s">
        <v>162</v>
      </c>
      <c r="T14" s="238" t="s">
        <v>163</v>
      </c>
      <c r="U14" s="238" t="s">
        <v>164</v>
      </c>
      <c r="V14" s="240" t="s">
        <v>177</v>
      </c>
      <c r="W14" s="240" t="s">
        <v>165</v>
      </c>
      <c r="X14" s="240" t="s">
        <v>174</v>
      </c>
      <c r="Y14" s="241" t="s">
        <v>166</v>
      </c>
      <c r="Z14" s="241" t="s">
        <v>167</v>
      </c>
      <c r="AA14" s="244" t="s">
        <v>168</v>
      </c>
    </row>
    <row r="15" spans="1:27" s="268" customFormat="1">
      <c r="A15" s="287" t="s">
        <v>178</v>
      </c>
      <c r="B15" s="287">
        <v>4.2</v>
      </c>
      <c r="C15" s="287">
        <v>1500</v>
      </c>
      <c r="D15" s="287">
        <f>C15/(SQRT(3)*B15*E15)</f>
        <v>257.74565588822583</v>
      </c>
      <c r="E15" s="287">
        <v>0.8</v>
      </c>
      <c r="F15" s="287" t="s">
        <v>179</v>
      </c>
      <c r="G15" s="287">
        <v>0</v>
      </c>
      <c r="H15" s="287">
        <v>0</v>
      </c>
      <c r="I15" s="287">
        <v>1</v>
      </c>
      <c r="J15" s="287" t="s">
        <v>180</v>
      </c>
      <c r="K15" s="287" t="s">
        <v>181</v>
      </c>
      <c r="L15" s="287" t="s">
        <v>185</v>
      </c>
      <c r="M15" s="287" t="s">
        <v>182</v>
      </c>
      <c r="N15" s="287" t="s">
        <v>183</v>
      </c>
      <c r="O15" s="287">
        <v>2.5</v>
      </c>
      <c r="P15" s="287">
        <v>40</v>
      </c>
      <c r="Q15" s="287">
        <v>200</v>
      </c>
      <c r="R15" s="287">
        <v>1</v>
      </c>
      <c r="S15" s="287">
        <v>1</v>
      </c>
      <c r="T15" s="287">
        <v>20</v>
      </c>
      <c r="U15" s="287">
        <v>1</v>
      </c>
      <c r="V15" s="287">
        <v>0</v>
      </c>
      <c r="W15" s="287">
        <v>0</v>
      </c>
      <c r="X15" s="287">
        <v>0</v>
      </c>
      <c r="Y15" s="268">
        <v>150</v>
      </c>
      <c r="Z15" s="268">
        <v>1</v>
      </c>
      <c r="AA15" s="268" t="s">
        <v>186</v>
      </c>
    </row>
    <row r="16" spans="1:27" s="268" customFormat="1"/>
    <row r="17" s="268" customFormat="1"/>
  </sheetData>
  <mergeCells count="7">
    <mergeCell ref="A11:A12"/>
    <mergeCell ref="C6:G6"/>
    <mergeCell ref="D11:H11"/>
    <mergeCell ref="D12:H12"/>
    <mergeCell ref="C3:G3"/>
    <mergeCell ref="C4:G4"/>
    <mergeCell ref="C5:G5"/>
  </mergeCells>
  <pageMargins left="0.511811024" right="0.511811024" top="0.78740157499999996" bottom="0.78740157499999996" header="0.31496062000000002" footer="0.31496062000000002"/>
  <pageSetup orientation="portrait" horizontalDpi="300" verticalDpi="0" copies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Tabelas_Norma_CAP_COR</vt:lpstr>
      <vt:lpstr>Tabelas_Norma_Fatores</vt:lpstr>
      <vt:lpstr>Tabelas_PRYSMIAN_PARAM_ELET</vt:lpstr>
      <vt:lpstr>Cálculos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FIGENER</dc:creator>
  <cp:lastModifiedBy>Gabriel</cp:lastModifiedBy>
  <dcterms:created xsi:type="dcterms:W3CDTF">2012-05-10T16:56:38Z</dcterms:created>
  <dcterms:modified xsi:type="dcterms:W3CDTF">2012-06-11T14:50:35Z</dcterms:modified>
</cp:coreProperties>
</file>